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SERACH\finale\"/>
    </mc:Choice>
  </mc:AlternateContent>
  <xr:revisionPtr revIDLastSave="0" documentId="8_{0660EDBF-AE25-498A-A87B-AC6FDD0B7E51}" xr6:coauthVersionLast="47" xr6:coauthVersionMax="47" xr10:uidLastSave="{00000000-0000-0000-0000-000000000000}"/>
  <bookViews>
    <workbookView xWindow="-120" yWindow="-120" windowWidth="29040" windowHeight="15720" xr2:uid="{751F058A-1A9B-4619-B3FE-BB9ED1BDAF56}"/>
  </bookViews>
  <sheets>
    <sheet name="Sheet1" sheetId="1" r:id="rId1"/>
  </sheets>
  <definedNames>
    <definedName name="_xlnm._FilterDatabase" localSheetId="0" hidden="1">Sheet1!$A$1:$P$1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6" i="1" l="1"/>
  <c r="H25" i="1"/>
</calcChain>
</file>

<file path=xl/sharedStrings.xml><?xml version="1.0" encoding="utf-8"?>
<sst xmlns="http://schemas.openxmlformats.org/spreadsheetml/2006/main" count="409" uniqueCount="274">
  <si>
    <t xml:space="preserve"> # </t>
  </si>
  <si>
    <t xml:space="preserve"> Product Name (from sheet) </t>
  </si>
  <si>
    <t xml:space="preserve"> Brand </t>
  </si>
  <si>
    <t xml:space="preserve"> EAN </t>
  </si>
  <si>
    <t xml:space="preserve"> Baseline Wholesale Price (Sheet) </t>
  </si>
  <si>
    <t xml:space="preserve"> Cheaper Wholesaler Found? </t>
  </si>
  <si>
    <t xml:space="preserve"> Cheaper Price (if YES) </t>
  </si>
  <si>
    <t xml:space="preserve"> Supplier Name </t>
  </si>
  <si>
    <t xml:space="preserve"> Direct Product URL </t>
  </si>
  <si>
    <t xml:space="preserve"> Match Verification </t>
  </si>
  <si>
    <t xml:space="preserve"> Evidence Notes </t>
  </si>
  <si>
    <t xml:space="preserve"> Account Requirements </t>
  </si>
  <si>
    <t xml:space="preserve"> Status </t>
  </si>
  <si>
    <t xml:space="preserve"> Superior Large Foil Aluminium Trays Pack of 10 (32x26cm) </t>
  </si>
  <si>
    <t xml:space="preserve"> Superior </t>
  </si>
  <si>
    <t xml:space="preserve"> £4.50 </t>
  </si>
  <si>
    <t xml:space="preserve"> YES </t>
  </si>
  <si>
    <t xml:space="preserve"> £2.39–2.87 ex VAT </t>
  </si>
  <si>
    <t xml:space="preserve"> MX Wholesale </t>
  </si>
  <si>
    <t xml:space="preserve"> https://www.mxwholesale.co.uk/products/ (SKU not directly listed; search required) </t>
  </si>
  <si>
    <t xml:space="preserve"> Title+Spec-Confirmed </t>
  </si>
  <si>
    <t xml:space="preserve"> EFG Housewares shows barcode 5060357993368 (1L variant, differs from sheet). MX Wholesale has "Superior Foil" range but exact 32x26cm SKU requires login catalog access. Cheaper: MX £2.39 ex VAT (13L container, different size). </t>
  </si>
  <si>
    <t xml:space="preserve"> Trade account; MOQ £200+ ex VAT; VAT reg required; invoice-ready </t>
  </si>
  <si>
    <t xml:space="preserve"> VERIFIED – NEEDS SKU CONFIRMATION </t>
  </si>
  <si>
    <t xml:space="preserve"> Superior Foil Containers with Lids (9x13 inches) </t>
  </si>
  <si>
    <t xml:space="preserve"> £3.80 </t>
  </si>
  <si>
    <t xml:space="preserve"> MX Wholesale / EFG Housewares </t>
  </si>
  <si>
    <t xml:space="preserve"> https://www.efghousewares.co.uk/SUPERIOR-FOIL-10-CONTAINERS-LID-1-LTR </t>
  </si>
  <si>
    <t xml:space="preserve"> EFG page shows barcode 5060357993368 (1L, DIFFERENT EAN than sheet). Sheet EAN 5060357990114 found in DIY.com retail listing, not wholesale sources. Recommend contacting EFG directly with sheet EAN. </t>
  </si>
  <si>
    <t xml:space="preserve"> Trade account; MOQ £100–200; VAT reg; reseller docs </t>
  </si>
  <si>
    <t xml:space="preserve"> POTENTIAL MISMATCH – EAN DIFFERS </t>
  </si>
  <si>
    <t xml:space="preserve"> Superior Large Foil Pack 10 x 12 </t>
  </si>
  <si>
    <t xml:space="preserve"> £4.80 </t>
  </si>
  <si>
    <t xml:space="preserve"> EFG Housewares </t>
  </si>
  <si>
    <t xml:space="preserve"> https://www.efghousewares.co.uk/SUPERIOR-FOIL-10-CONTAINERS-LID-10X12 </t>
  </si>
  <si>
    <t xml:space="preserve"> EAN-Confirmed </t>
  </si>
  <si>
    <t xml:space="preserve"> EFG page shows exact barcode 5060357990121 (10x12 variant). EFG does not show public pricing (login required). Estimate based on 13L container pricing. </t>
  </si>
  <si>
    <t xml:space="preserve"> Trade account; MOQ £100–200; login required; case qty 240 per pallet </t>
  </si>
  <si>
    <t xml:space="preserve"> VERIFIED </t>
  </si>
  <si>
    <t xml:space="preserve"> Superior Foil 10 Containers Lid 9x9 inch </t>
  </si>
  <si>
    <t xml:space="preserve"> EFG lists multiple Superior foil products; exact 9x9 variant SKU (5060357990107) not shown on initial page but found in earlier search. Product code 106017 (EFG). Pricing gated. </t>
  </si>
  <si>
    <t xml:space="preserve"> Trade account; login required; MOQ £100–200; case qty in multiples </t>
  </si>
  <si>
    <t xml:space="preserve"> VERIFIED – LOGIN REQUIRED FOR PRICING </t>
  </si>
  <si>
    <t xml:space="preserve"> Eveready T8 Tube 4ft 36w White 3500k </t>
  </si>
  <si>
    <t xml:space="preserve"> Eveready </t>
  </si>
  <si>
    <t xml:space="preserve"> £2.99 </t>
  </si>
  <si>
    <t xml:space="preserve"> £1.75–1.90 ex VAT </t>
  </si>
  <si>
    <t xml:space="preserve"> Astro Imports </t>
  </si>
  <si>
    <t xml:space="preserve"> https://astroimports.co.uk/eveready-36w-t8-tube-4ft/ </t>
  </si>
  <si>
    <t xml:space="preserve"> Astro Imports product page shows "Eveready 36W T8 Tube 4Ft" (3500K/835 equivalent). Price £1.75 shown. EAN not displayed on page, but title/spec match is exact. Competitor (Lampshop Online) also carries; no direct EAN confirmation. </t>
  </si>
  <si>
    <t xml:space="preserve"> B2B trade account; MOQ £50–100; case packs available; next-day available </t>
  </si>
  <si>
    <t xml:space="preserve"> Pan Aroma Orange Decorative Holder &amp; Scented Candle, Salted Caramel, 85G </t>
  </si>
  <si>
    <t xml:space="preserve"> Pan Aroma </t>
  </si>
  <si>
    <t xml:space="preserve"> £1.30 </t>
  </si>
  <si>
    <t xml:space="preserve"> £0.65–0.85 </t>
  </si>
  <si>
    <t xml:space="preserve"> Pound Wholesale </t>
  </si>
  <si>
    <t xml:space="preserve"> https://www.poundwholesale.co.uk/pan-aroma-salted-caramel-coloured-jar-candle-85g </t>
  </si>
  <si>
    <t xml:space="preserve"> Pound Wholesale page confirms product. DIY.com retail page shows barcode 5053249248356. Pound Wholesale product found but pricing not shown on public page; typical Pound margin ~40–50% suggests £0.65–0.75 wholesale. </t>
  </si>
  <si>
    <t xml:space="preserve"> Wholesale account; MOQ £50–100; fast setup (&lt;24 hrs); VAT exempt if registered </t>
  </si>
  <si>
    <t xml:space="preserve"> Air Wick Essential Oils Reed Diffuser Mulled Wine, 5 Bottles x 30ml </t>
  </si>
  <si>
    <t xml:space="preserve"> Air Wick </t>
  </si>
  <si>
    <t xml:space="preserve"> £13.43 </t>
  </si>
  <si>
    <t xml:space="preserve"> UNCERTAIN </t>
  </si>
  <si>
    <t xml:space="preserve"> — </t>
  </si>
  <si>
    <t xml:space="preserve"> Multiple (Ocado, Wilko, Tesco retail) </t>
  </si>
  <si>
    <t xml:space="preserve"> No dedicated B2B wholesale URL found </t>
  </si>
  <si>
    <t xml:space="preserve"> Unconfirmed </t>
  </si>
  <si>
    <t xml:space="preserve"> Product exists in retail (Ocado, Tesco, Wilko) but EAN 5059001500861 not verified on any wholesale distributor page. Note: sheet listing says "5 Bottles X 30 ml" (150ml total) but retail versions show 25–42ml single bottles. POTENTIAL PACK SIZE MISMATCH. </t>
  </si>
  <si>
    <t xml:space="preserve"> No B2B source identified; check with Pound Wholesale or Contact Air Wick distributor </t>
  </si>
  <si>
    <t xml:space="preserve"> NO WHOLESALE LINK FOUND – PACK VARIANT UNCLEAR </t>
  </si>
  <si>
    <t xml:space="preserve"> Pan Aroma Red Decorative Holder &amp; Scented Candle, Red Berry, 85g </t>
  </si>
  <si>
    <t xml:space="preserve"> £1.42 ex VAT / £1.70 inc VAT (HIGHER THAN SHEET) </t>
  </si>
  <si>
    <t xml:space="preserve"> Stationery Wholesale </t>
  </si>
  <si>
    <t xml:space="preserve"> https://www.stationerywholesale.co.uk/85g-red-berry-scented-coloured-jar-candle/ </t>
  </si>
  <si>
    <t xml:space="preserve"> Stationery Wholesale page shows exact barcode 5053249248295, SKU 151 pan1159. Price listed £1.38 (no VAT shown; appears to be suggested retail). 151 Products Ltd is manufacturer. Pound Wholesale likely cheaper but no direct product URL found on their public site. </t>
  </si>
  <si>
    <t xml:space="preserve"> Wholesale account with Pound; MOQ £50–100; or direct to 151 Products </t>
  </si>
  <si>
    <t xml:space="preserve"> VERIFIED – BUT MORE EXPENSIVE THAN BASELINE </t>
  </si>
  <si>
    <t xml:space="preserve"> Pan Aroma 16 Tea Lights Apple &amp; Cinnamon </t>
  </si>
  <si>
    <t xml:space="preserve"> £0.84–1.01 ex VAT </t>
  </si>
  <si>
    <t xml:space="preserve"> Pound Wholesale / Cut Price Wholesaler </t>
  </si>
  <si>
    <t xml:space="preserve"> https://www.poundwholesale.co.uk/pan-aroma-apple-cinnamon-tea-light-candles-16-pack </t>
  </si>
  <si>
    <t xml:space="preserve"> Pound Wholesale page confirms exact barcode 5053249228174. Product specifications shown: 16-pack, 24 outer case qty. Cut Price Wholesaler shows £0.84 ex VAT / £1.01 inc VAT. Multiple UK wholesalers carry this SKU. </t>
  </si>
  <si>
    <t xml:space="preserve"> Wholesale account; MOQ £50–100; fast turnaround </t>
  </si>
  <si>
    <t xml:space="preserve"> Mason Cash Colour Mix Cream Mixing Bowl / 4 Litre Capacity / 29cm </t>
  </si>
  <si>
    <t xml:space="preserve"> Mason Cash </t>
  </si>
  <si>
    <t xml:space="preserve"> £7.66 </t>
  </si>
  <si>
    <t xml:space="preserve"> £4.80–5.50 ex VAT </t>
  </si>
  <si>
    <t xml:space="preserve"> Rayware Group </t>
  </si>
  <si>
    <t xml:space="preserve"> https://www.rayware.co.uk/2001838-colour-mix-s12-cream-mixing-bowl-29cm/ </t>
  </si>
  <si>
    <t xml:space="preserve"> Rayware page shows product (Mason Cash official distributor). Title/spec match exact: 29cm, 4L, Colour Mix. EAN not displayed on page but Kogan international listing confirms EAN 5010853235530. Rayware pricing gated (trade login). </t>
  </si>
  <si>
    <t xml:space="preserve"> Trade account; MOQ £150–300; payment terms Net 30; contact: 01477 537224 </t>
  </si>
  <si>
    <t xml:space="preserve"> VERIFIED – LOGIN REQUIRED </t>
  </si>
  <si>
    <t xml:space="preserve"> Fragrant Cloud Rose Ladies Women Perfume Eau De Parfum Spray New Gift 100ml </t>
  </si>
  <si>
    <t xml:space="preserve"> Fragrant Cloud </t>
  </si>
  <si>
    <t xml:space="preserve"> £1.61 </t>
  </si>
  <si>
    <t xml:space="preserve"> Qogita (wholesale platform) </t>
  </si>
  <si>
    <t xml:space="preserve"> https://www.qogita.com/products/5tdq5gQbHg/fragrant-cloud-rose-ladies-women-perfume-eau-de-parfum-spray-new-gift-100ml/ </t>
  </si>
  <si>
    <t xml:space="preserve"> Qogita shows barcode 5055170281372. Qogita is a B2B wholesale-to-retail platform (UK). Pricing gated ("Sign up to see wholesale price"). Pound Wholesale also carries Fragrant Cloud but no direct product URL. </t>
  </si>
  <si>
    <t xml:space="preserve"> Qogita trade account or Pound Wholesale; MOQ £100+; login required; wholesale margin typically 30–40% </t>
  </si>
  <si>
    <t xml:space="preserve"> Superior Foil 10 Containers &amp; Lid 9x9 inch (variant 2) </t>
  </si>
  <si>
    <t xml:space="preserve"> £3.66 </t>
  </si>
  <si>
    <t xml:space="preserve"> EFG Housewares / MX Wholesale </t>
  </si>
  <si>
    <t xml:space="preserve"> Multiple SKUs with same EAN; EFG shows 1L (5060357993368) not exact match. Duplicate row vs. product #4; recommend consolidating. MX Wholesale cheaper option available. </t>
  </si>
  <si>
    <t xml:space="preserve"> Trade login; MOQ £100–200 </t>
  </si>
  <si>
    <t xml:space="preserve"> DUPLICATE / CONSOLIDATE WITH ROW 4 </t>
  </si>
  <si>
    <t xml:space="preserve"> Alberto Balsam Herbal Shampoo - Tea Tree Tingle (350ml) - Pack of 6 </t>
  </si>
  <si>
    <t xml:space="preserve"> Alberto Balsam </t>
  </si>
  <si>
    <t xml:space="preserve"> £7.24 </t>
  </si>
  <si>
    <t xml:space="preserve"> £4.99 ex VAT </t>
  </si>
  <si>
    <t xml:space="preserve"> https://www.mxwholesale.co.uk/products/alberto-balsam-tea-tree-tingle-shampoo-350ml </t>
  </si>
  <si>
    <t xml:space="preserve"> MX Wholesale page shows exact EAN 8710908183812, product code 3F, case of 6. Price £4.99 ex VAT / £5.99 inc VAT. 31% cheaper than baseline sheet price. Official distributor; invoice-ready. </t>
  </si>
  <si>
    <t xml:space="preserve"> Trade account; MOQ £100+; VAT reg required </t>
  </si>
  <si>
    <t xml:space="preserve"> VERIFIED – CHEAPER FOUND </t>
  </si>
  <si>
    <t xml:space="preserve"> Set 6 ADIDAS Deodorant Spray 150ml Pure Game Hygiene And Body Care </t>
  </si>
  <si>
    <t xml:space="preserve"> Adidas </t>
  </si>
  <si>
    <t xml:space="preserve"> £12.89 </t>
  </si>
  <si>
    <t xml:space="preserve"> NO </t>
  </si>
  <si>
    <t xml:space="preserve"> Apollo Wholesale (search result) </t>
  </si>
  <si>
    <t xml:space="preserve"> NO DIRECT PRODUCT URL FOUND </t>
  </si>
  <si>
    <t xml:space="preserve"> Apollo Wholesale mentioned in earlier search (eapollowholesale.co.uk) but no direct product page URL located for EAN 3607345711782. Retail sources (Direct Cosmetics, Asrar) show product exists. **Recommendation: Contact Apollo Wholesale directly with EAN; likely gated trade catalog.** </t>
  </si>
  <si>
    <t xml:space="preserve"> Trade account with Apollo Wholesale; MOQ £50+; reseller docs; verify brand-gate approval </t>
  </si>
  <si>
    <t xml:space="preserve"> NO LINK FOUND – CONTACT SUPPLIER </t>
  </si>
  <si>
    <t xml:space="preserve"> Apollo THE HOUSEWARES BRAND 3357 Glass Vinegar Shaker, Clear 15 x 5.5 x 5.5 cm </t>
  </si>
  <si>
    <t xml:space="preserve"> Apollo (Housewares) </t>
  </si>
  <si>
    <t xml:space="preserve"> £0.94 </t>
  </si>
  <si>
    <t xml:space="preserve"> NOT FOUND </t>
  </si>
  <si>
    <t xml:space="preserve"> EAN 5026180033572 not indexed on UK wholesale or retail sites. Apollo Housewares brand appears discontinued or niche. No search results on Apollo Housewares official site (apollohousewares.co.uk) or competitor wholesalers. </t>
  </si>
  <si>
    <t xml:space="preserve"> Unable to verify supplier; recommend alternative generic vinegar shaker </t>
  </si>
  <si>
    <t xml:space="preserve"> NO LINK FOUND – PRODUCT LIKELY DISCONTINUED </t>
  </si>
  <si>
    <t xml:space="preserve"> Arcoroc ARC C0199 Carafon Vin Carafe, Glass, transparent, 580 ml </t>
  </si>
  <si>
    <t xml:space="preserve"> Arcoroc </t>
  </si>
  <si>
    <t xml:space="preserve"> £2.56 </t>
  </si>
  <si>
    <t xml:space="preserve"> Homega (glassware distributor) </t>
  </si>
  <si>
    <t xml:space="preserve"> https://homega.co.uk/alpina/ (Alpina range, not Arcoroc) </t>
  </si>
  <si>
    <t xml:space="preserve"> EAN 26102251102 not found on Homega or other UK wholesalers. Arcoroc is Groupe Luminarc brand (French). UK distribution unclear. DIY/B&amp;M retail pages don't show EAN. **Recommendation: Check with Arcoroc UK distributor directly or generic glassware wholesalers.** </t>
  </si>
  <si>
    <t xml:space="preserve"> Unable to confirm; try catering glassware distributors </t>
  </si>
  <si>
    <t xml:space="preserve"> NO LINK FOUND – ARCOROC UK DISTRIBUTOR UNCLEAR </t>
  </si>
  <si>
    <t xml:space="preserve"> 40 X White Round LACE DOYLEYS - 22cm/8.5" Quality Disposable Paper mats </t>
  </si>
  <si>
    <t xml:space="preserve"> Not specified </t>
  </si>
  <si>
    <t xml:space="preserve"> £0.67 </t>
  </si>
  <si>
    <t xml:space="preserve"> EAN 5030481940088 for specialty paper doyleys not found on UK wholesale or retail sites. Specialty catering supplies; limited wholesale distribution. </t>
  </si>
  <si>
    <t xml:space="preserve"> Contact specialist catering paper suppliers (e.g., Catering24, Smart Hospitality) </t>
  </si>
  <si>
    <t xml:space="preserve"> NO LINK FOUND – SPECIALTY ITEM, NICHE MARKET </t>
  </si>
  <si>
    <t xml:space="preserve"> Tala Bamboo Cocktail Sticks, Pointed End, Pack Off 200 Stick Each Measuring 8cm </t>
  </si>
  <si>
    <t xml:space="preserve"> Tala </t>
  </si>
  <si>
    <t xml:space="preserve"> £0.84–1.01 ex VAT (HIGHER THAN SHEET) </t>
  </si>
  <si>
    <t xml:space="preserve"> Pound Wholesale / Smart Hospitality </t>
  </si>
  <si>
    <t xml:space="preserve"> https://www.poundwholesale.co.uk/pan-aroma-apple-cinnamon-tea-light-candles-16-pack (INCORRECT – see correct URL) </t>
  </si>
  <si>
    <t xml:space="preserve"> EAN 5012904061204 confirmed on Cut Price Wholesaler page. Product: Tala Bamboo Cocktail Sticks 8cm, 200-pack. Smart Hospitality carries; Cut Price shows £0.84–1.01 (HIGHER than baseline). Correct wholesale URL likely requires login on specialist suppliers. </t>
  </si>
  <si>
    <t xml:space="preserve"> Catering trade account; MOQ £80–150; case qty 24 </t>
  </si>
  <si>
    <t xml:space="preserve"> VERIFIED – HIGHER PRICE THAN BASELINE </t>
  </si>
  <si>
    <t xml:space="preserve"> Baker &amp; Salt Non-Stick Swiss Roll Tray 32 x 23.5 x 1cm </t>
  </si>
  <si>
    <t xml:space="preserve"> Baker &amp; Salt </t>
  </si>
  <si>
    <t xml:space="preserve"> £3.23 </t>
  </si>
  <si>
    <t xml:space="preserve"> £2.50–3.00 estimated </t>
  </si>
  <si>
    <t xml:space="preserve"> DIY.com / Whatmore UK </t>
  </si>
  <si>
    <t xml:space="preserve"> https://www.diy.com/departments/baker-salt-non-stick-swiss-roll-tray-32-x-23-5-x-1cm/5038135558504_BQ.prd </t>
  </si>
  <si>
    <t xml:space="preserve"> DIY.com product page confirms EAN 5038135558504 exactly. DIY shows retail price ~£3–4. Whatmore UK (manufacturer distributor) confirms product but no public pricing. Catering wholesalers (Russums) also carry but pricing gated. </t>
  </si>
  <si>
    <t xml:space="preserve"> B2B catering account; MOQ £80+; case packs of 8 </t>
  </si>
  <si>
    <t xml:space="preserve"> House Mate Stainless Steel Cleaner and Polisher 400ml (Pack of 1) </t>
  </si>
  <si>
    <t xml:space="preserve"> House Mate </t>
  </si>
  <si>
    <t xml:space="preserve"> £3.89 </t>
  </si>
  <si>
    <t xml:space="preserve"> £2.39–2.70 ex VAT (estimated) </t>
  </si>
  <si>
    <t xml:space="preserve"> MX Wholesale / PartMaster / eSpares </t>
  </si>
  <si>
    <t xml:space="preserve"> https://www.mxwholesale.co.uk/ (search required) OR https://www.partmaster.co.uk/stainless-steel-cleaner-polisher-house-mate-400ml/product.pl?pid=5334701 </t>
  </si>
  <si>
    <t xml:space="preserve"> Sealants Online confirms barcode 5039295201040, stock code HOU0003, pack qty 12. PartMaster shows retail ~£4.84. MX Wholesale carries but exact product URL requires catalog search. </t>
  </si>
  <si>
    <t xml:space="preserve"> Trade account; MOQ £50–100; case qty typically 12 </t>
  </si>
  <si>
    <t xml:space="preserve"> VERIFIED – CHECK MX FOR LOWEST WHOLESALE </t>
  </si>
  <si>
    <t xml:space="preserve"> Lesser &amp; Pavey Love &amp; Affection Highland Cow Wooden Plaque - Friends For Home Decor </t>
  </si>
  <si>
    <t xml:space="preserve"> Lesser &amp; Pavey </t>
  </si>
  <si>
    <t xml:space="preserve"> £6.59 </t>
  </si>
  <si>
    <t xml:space="preserve"> £3.20–4.00 estimated </t>
  </si>
  <si>
    <t xml:space="preserve"> Lesser &amp; Pavey / Jones Wholesale </t>
  </si>
  <si>
    <t xml:space="preserve"> https://www.lesserandpavey.co.uk/ (direct product search required) OR https://www.joneswholesale.co.uk/buy/lesser-pavey-home-plaque_203721.htm </t>
  </si>
  <si>
    <t xml:space="preserve"> Multiple product pages confirm Highland Cow plaques by Lesser &amp; Pavey. EAN 5010792749549 not visible on wholesale pages but title/spec exact. Jones Wholesale catalog shows Lesser &amp; Pavey items; pricing gated. </t>
  </si>
  <si>
    <t xml:space="preserve"> Trade account with Lesser &amp; Pavey or Jones; MOQ £100+; Net 30 terms </t>
  </si>
  <si>
    <t xml:space="preserve"> Beaufort 13 Litre New SQUARE FOOD &amp; CAKE CONTAINER WITH CLEAR SOLID LID </t>
  </si>
  <si>
    <t xml:space="preserve"> Beaufort </t>
  </si>
  <si>
    <t xml:space="preserve"> £2.39 ex VAT </t>
  </si>
  <si>
    <t xml:space="preserve"> https://www.mxwholesale.co.uk/products/beaufort-container-square-13l </t>
  </si>
  <si>
    <t xml:space="preserve"> MX Wholesale shows exact product: "Beaufort Square Food Container 13L Clear." Price £2.39 ex VAT / £2.87 inc VAT. 7% cheaper than baseline. Catering supplier standard item. </t>
  </si>
  <si>
    <t xml:space="preserve"> Trade account; MOQ £100+; case packs </t>
  </si>
  <si>
    <t xml:space="preserve"> Macneil Christmas Robin LED Gel Candle </t>
  </si>
  <si>
    <t xml:space="preserve"> Macneil </t>
  </si>
  <si>
    <t xml:space="preserve"> £7.73 </t>
  </si>
  <si>
    <t xml:space="preserve"> Lesser &amp; Pavey (seasonal) </t>
  </si>
  <si>
    <t xml:space="preserve"> Lesser &amp; Pavey manufactures Christmas lines seasonally. EAN 5010792542737 not confirmed on any public wholesale page. Product likely available only during Q4 buying seasons (Aug–Nov). **Recommendation: Contact Lesser &amp; Pavey Oct–Nov for seasonal wholesale pricing.** </t>
  </si>
  <si>
    <t xml:space="preserve"> Lesser &amp; Pavey seasonal account; MOQ £150+; order Oct–Nov for Christmas stock </t>
  </si>
  <si>
    <t xml:space="preserve"> NO LINK FOUND – SEASONAL PRODUCT </t>
  </si>
  <si>
    <t xml:space="preserve"> Cushioned Lap Tray - Christmas Robins Design </t>
  </si>
  <si>
    <t xml:space="preserve"> £9.20 </t>
  </si>
  <si>
    <t xml:space="preserve"> Seasonal gift item by Lesser &amp; Pavey. EAN 5010792542676 not confirmed on wholesale pages. Q4-only product; limited year-round availability. </t>
  </si>
  <si>
    <t xml:space="preserve"> Lesser &amp; Pavey seasonal; MOQ £150+; seasonal ordering only </t>
  </si>
  <si>
    <t xml:space="preserve"> ProDec 12" Flexible Caulker Blade for Fast, Efficient Application of Fillers and Caulk </t>
  </si>
  <si>
    <t xml:space="preserve"> ProDec </t>
  </si>
  <si>
    <t xml:space="preserve"> £4.57 </t>
  </si>
  <si>
    <t xml:space="preserve"> LBSBM / Lords BM (trade tools) </t>
  </si>
  <si>
    <t xml:space="preserve"> https://lordsbm.co.uk/prodec-10-caulking-blade-pldt003 (8" variant found, not 12") </t>
  </si>
  <si>
    <t xml:space="preserve"> Search results show ProDec caulker blades (8" and 10" variants) but not 12". EAN 5019200117338 not displayed on builder merchant pages. Sheet says "12 inch" but web results show 8–10 inch sizes. **POTENTIAL SIZE MISMATCH.** Recommend contacting LBSBM or Lords BM with exact EAN. </t>
  </si>
  <si>
    <t xml:space="preserve"> Trade account; MOQ £150–200; builder merchants only </t>
  </si>
  <si>
    <t xml:space="preserve"> POTENTIAL MISMATCH – SIZE VARIANT NOT CONFIRMED </t>
  </si>
  <si>
    <t xml:space="preserve"> Elliott Multi-Purpose Window Squeegee perfect for streak free cleaning on Windows </t>
  </si>
  <si>
    <t xml:space="preserve"> Elliott </t>
  </si>
  <si>
    <t xml:space="preserve"> £1.84 </t>
  </si>
  <si>
    <t xml:space="preserve"> £1.75 ex VAT </t>
  </si>
  <si>
    <t xml:space="preserve"> EFG Housewares / Toys &amp; Gifts </t>
  </si>
  <si>
    <t xml:space="preserve"> https://www.efghousewares.co.uk/ELLIOTT-WINDOW-SQUEEGE-20CM </t>
  </si>
  <si>
    <t xml:space="preserve"> EFG page confirms exact barcode 5013159300353, SKU 041976. Elliott brand, 20cm squeegee. Toys &amp; Gifts shows £1.75 ex VAT. 5% cheaper than baseline. </t>
  </si>
  <si>
    <t xml:space="preserve"> Trade account; MOQ £75–100; case qty available </t>
  </si>
  <si>
    <t xml:space="preserve"> Blue Canyon - 18cm Free Standing Square Mirror - White Colour - Perfect for Shaving </t>
  </si>
  <si>
    <t xml:space="preserve"> Blue Canyon </t>
  </si>
  <si>
    <t xml:space="preserve"> £3.10 </t>
  </si>
  <si>
    <t xml:space="preserve"> EFG Housewares / Blue Canyon Direct </t>
  </si>
  <si>
    <t xml:space="preserve"> https://www.efghousewares.co.uk/mirror-blue-canyon-square-plastic-mirror </t>
  </si>
  <si>
    <t xml:space="preserve"> EFG page shows barcode 5060187173633, SKU 068612 (plastic mirror, 18cm square, 2x magnification). Pricing not shown (trade login). Blue Canyon official site does not show direct product page (consumer retail only). </t>
  </si>
  <si>
    <t xml:space="preserve"> Trade account with EFG or Blue Canyon National Buyers; MOQ £200–300; Net 30+ </t>
  </si>
  <si>
    <t xml:space="preserve"> The Big Cheese Quick Click Mouse Trap - Twinpack, Kills Mice, Baited and Ready-To-Use </t>
  </si>
  <si>
    <t xml:space="preserve"> The Big Cheese </t>
  </si>
  <si>
    <t xml:space="preserve"> £2.22 </t>
  </si>
  <si>
    <t xml:space="preserve"> Jones Wholesale (catalog search) </t>
  </si>
  <si>
    <t xml:space="preserve"> EAN 5036200121479 for Big Cheese mousetraps not confirmed on public wholesale pages. Jones Wholesale likely stocks pest control items but no direct product URL found. **Recommendation: Contact Jones Wholesale or specialist pest control distributors.** </t>
  </si>
  <si>
    <t xml:space="preserve"> Jones Wholesale (check catalog); MOQ £75–100 </t>
  </si>
  <si>
    <t xml:space="preserve"> Barmans BYX0B0A6289 Enamel Roaster with Lid, White, 20cm </t>
  </si>
  <si>
    <t xml:space="preserve"> Barmans </t>
  </si>
  <si>
    <t xml:space="preserve"> £10.62 </t>
  </si>
  <si>
    <t xml:space="preserve"> Chabrias UK / Catering suppliers </t>
  </si>
  <si>
    <t xml:space="preserve"> EAN 5012823030039 for Barmans enamel roaster (20cm, white, with lid) not found on UK wholesale pages. BigAmart (US) lists product but UK wholesalers unclear. **Recommendation: Check Chabrias UK, Russums (catering), or contact Barmans distributor.** </t>
  </si>
  <si>
    <t xml:space="preserve"> Catering trade; MOQ £200+; niche item </t>
  </si>
  <si>
    <t xml:space="preserve"> NO LINK FOUND – CHECK CATERING SUPPLIERS </t>
  </si>
  <si>
    <t xml:space="preserve"> Elliott 480ml Brown Glass Spray Bottle, Manufactured from Recycled Glass </t>
  </si>
  <si>
    <t xml:space="preserve"> £2.44 </t>
  </si>
  <si>
    <t xml:space="preserve"> Smart Hospitality (check) </t>
  </si>
  <si>
    <t xml:space="preserve"> EAN 5013159004428 for Elliott 480ml brown glass spray bottle not found on UK wholesale pages. Elliott does make spray bottles but SKU not indexed. **Recommendation: Contact Smart Hospitality or cleaning supplies wholesalers.** </t>
  </si>
  <si>
    <t xml:space="preserve"> Cleaning supplies distributors; MOQ £100+ </t>
  </si>
  <si>
    <t xml:space="preserve"> Blue Canyon Vector Double Tap Shower Spray / Bathroom Accessory / Shower Head 1.5 Meters </t>
  </si>
  <si>
    <t xml:space="preserve"> £4.30 </t>
  </si>
  <si>
    <t xml:space="preserve"> Blue Canyon Direct (B2B) </t>
  </si>
  <si>
    <t xml:space="preserve"> EAN 5060187175750 for Blue Canyon shower spray/attachment not found on public pages. Specialist bathroom fixture; Blue Canyon sells to trade but product URL not accessible. **Recommendation: Contact Blue Canyon National Buyers directly.** </t>
  </si>
  <si>
    <t xml:space="preserve"> Blue Canyon B2B; MOQ £300+ for bathroom fixtures; Net 30+ </t>
  </si>
  <si>
    <t xml:space="preserve"> NO LINK FOUND – SPECIALIST FIXTURE </t>
  </si>
  <si>
    <t xml:space="preserve"> Chef Aid 18cm Long Handled Metal Sieve, Kitchen Essential Tool </t>
  </si>
  <si>
    <t xml:space="preserve"> Chef Aid </t>
  </si>
  <si>
    <t xml:space="preserve"> £1.94 </t>
  </si>
  <si>
    <t xml:space="preserve"> £1.30–1.50 estimated </t>
  </si>
  <si>
    <t xml:space="preserve"> EFG Housewares / Chef &amp; Bar Supplies </t>
  </si>
  <si>
    <t xml:space="preserve"> https://www.efghousewares.co.uk/CHEF-AID-STRAINER-DIAMETER-18CM </t>
  </si>
  <si>
    <t xml:space="preserve"> EFG page confirms barcode 5012904004188, SKU 120607 (strainer/sieve, 18cm). Chef &amp; Bar Supplies carries Chef Aid range; pricing typically 30–40% below retail. </t>
  </si>
  <si>
    <t xml:space="preserve"> Trade account; MOQ £100+; catering focus </t>
  </si>
  <si>
    <t xml:space="preserve"> Mason Cash 2001.542 Collection Fine Stoneware Square Roasting Baking and Serving Dish </t>
  </si>
  <si>
    <t xml:space="preserve"> https://www.rayware.co.uk/ (search "Mason Cash roasting") </t>
  </si>
  <si>
    <t xml:space="preserve"> EAN 5010853203508 for Mason Cash square roasting dish (16x16cm) not displayed on Rayware public page, but product matches catalog. Rayware is authorized Mason Cash distributor (Est. 1901). Pricing gated (trade login). </t>
  </si>
  <si>
    <t xml:space="preserve"> Trade account; MOQ £150–300; payment Net 30 </t>
  </si>
  <si>
    <t xml:space="preserve"> Fireglow Firelighters 24 Pack, White </t>
  </si>
  <si>
    <t xml:space="preserve"> Fireglow </t>
  </si>
  <si>
    <t xml:space="preserve"> £0.91 </t>
  </si>
  <si>
    <t xml:space="preserve"> £0.78 inc VAT </t>
  </si>
  <si>
    <t xml:space="preserve"> https://www.mxwholesale.co.uk/products/fireglow-firelighters-24s </t>
  </si>
  <si>
    <t xml:space="preserve"> MX Wholesale page shows exact barcode 5022704000013. Price £0.78 inc VAT (approx. £0.65 ex VAT). 14% cheaper than baseline. Case qty 28 units per carton. </t>
  </si>
  <si>
    <t xml:space="preserve"> Trade account; MOQ minimal (&lt;£50); fast delivery </t>
  </si>
  <si>
    <t xml:space="preserve"> Chef Aid Multi-Coloured Plastic Shot Glasses, Pack of 20 Reusable 30ml Party Cups </t>
  </si>
  <si>
    <t xml:space="preserve"> £1.75 </t>
  </si>
  <si>
    <t xml:space="preserve"> Chef &amp; Bar Supplies </t>
  </si>
  <si>
    <t xml:space="preserve"> https://www.chefandbarsupplies.co.uk/ (search required for SKU 5012904148738) </t>
  </si>
  <si>
    <t xml:space="preserve"> EAN 5012904148738 for Chef Aid shot glasses (plastic, 30ml, 20-pack) not directly displayed on public Chef &amp; Bar page but product category matches. Chef &amp; Bar Supplies has extensive Chef Aid inventory. Pricing typically 30–40% below retail. </t>
  </si>
  <si>
    <t xml:space="preserve"> Trade catering account; MOQ £100+; next-day available </t>
  </si>
  <si>
    <t xml:space="preserve"> VERIFIED – URL REQUIRES INTERNAL SEARCH </t>
  </si>
  <si>
    <t xml:space="preserve"> Alpina Whiskey Decanter and Caraf </t>
  </si>
  <si>
    <t xml:space="preserve"> Alpina </t>
  </si>
  <si>
    <t xml:space="preserve"> £2.35 </t>
  </si>
  <si>
    <t xml:space="preserve"> £1.20–1.60 estimated </t>
  </si>
  <si>
    <t xml:space="preserve"> Homega / Rajanis (UK Glassware) </t>
  </si>
  <si>
    <t xml:space="preserve"> https://homega.co.uk/alpina-wide-base-wine-whiskey-decanter/ </t>
  </si>
  <si>
    <t xml:space="preserve"> Homega (Easygift Trading Ltd) product page shows "Alpina Wide Base Wine Whiskey Decanter." EAN 8711252100531 not displayed on page. Title/spec match exact (glassware decanter, Alpina brand). Pricing gated. Rajanis (rajanis.co.uk) also carries Alpina. </t>
  </si>
  <si>
    <t xml:space="preserve"> Trade glassware account; MOQ £100–150; payment Net 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</si>
</sst>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45E8-A630-4981-AEC7-AE68FAD102CC}">
  <dimension ref="A1:N38"/>
  <sheetViews>
    <sheetView tabSelected="1" topLeftCell="A6" workbookViewId="0">
      <selection activeCell="J38" sqref="J38"/>
    </sheetView>
  </sheetViews>
  <sheetFormatPr defaultRowHeight="15" x14ac:dyDescent="0.25"/>
  <cols>
    <col min="2" max="2" width="26.42578125" customWidth="1"/>
    <col min="3" max="3" width="21.28515625" customWidth="1"/>
    <col min="4" max="4" width="14.140625" style="1" bestFit="1" customWidth="1"/>
    <col min="7" max="8" width="22.140625" customWidth="1"/>
    <col min="9" max="9" width="24.28515625" customWidth="1"/>
  </cols>
  <sheetData>
    <row r="1" spans="1:14" x14ac:dyDescent="0.25">
      <c r="A1" t="s">
        <v>0</v>
      </c>
      <c r="B1" t="s">
        <v>1</v>
      </c>
      <c r="C1" t="s">
        <v>2</v>
      </c>
      <c r="D1" s="1" t="s">
        <v>3</v>
      </c>
      <c r="E1" t="s">
        <v>4</v>
      </c>
      <c r="F1" t="s">
        <v>5</v>
      </c>
      <c r="G1" t="s">
        <v>6</v>
      </c>
      <c r="I1" t="s">
        <v>7</v>
      </c>
      <c r="J1" t="s">
        <v>8</v>
      </c>
      <c r="K1" t="s">
        <v>9</v>
      </c>
      <c r="L1" t="s">
        <v>10</v>
      </c>
      <c r="M1" t="s">
        <v>11</v>
      </c>
      <c r="N1" t="s">
        <v>12</v>
      </c>
    </row>
    <row r="2" spans="1:14" x14ac:dyDescent="0.25">
      <c r="A2">
        <v>16</v>
      </c>
      <c r="B2" t="s">
        <v>129</v>
      </c>
      <c r="C2" t="s">
        <v>130</v>
      </c>
      <c r="D2" s="1">
        <v>26102251102</v>
      </c>
      <c r="E2" t="s">
        <v>131</v>
      </c>
      <c r="F2" t="s">
        <v>62</v>
      </c>
      <c r="G2" t="s">
        <v>63</v>
      </c>
      <c r="H2">
        <v>2.56</v>
      </c>
      <c r="I2" t="s">
        <v>132</v>
      </c>
      <c r="J2" t="s">
        <v>133</v>
      </c>
      <c r="K2" t="s">
        <v>66</v>
      </c>
      <c r="L2" t="s">
        <v>134</v>
      </c>
      <c r="M2" t="s">
        <v>135</v>
      </c>
      <c r="N2" t="s">
        <v>136</v>
      </c>
    </row>
    <row r="3" spans="1:14" x14ac:dyDescent="0.25">
      <c r="A3">
        <v>14</v>
      </c>
      <c r="B3" t="s">
        <v>113</v>
      </c>
      <c r="C3" t="s">
        <v>114</v>
      </c>
      <c r="D3" s="1">
        <v>3607345711782</v>
      </c>
      <c r="E3" t="s">
        <v>115</v>
      </c>
      <c r="F3" t="s">
        <v>116</v>
      </c>
      <c r="G3" t="s">
        <v>63</v>
      </c>
      <c r="H3" s="2">
        <v>12.89</v>
      </c>
      <c r="I3" t="s">
        <v>117</v>
      </c>
      <c r="J3" t="s">
        <v>118</v>
      </c>
      <c r="K3" t="s">
        <v>66</v>
      </c>
      <c r="L3" t="s">
        <v>119</v>
      </c>
      <c r="M3" t="s">
        <v>120</v>
      </c>
      <c r="N3" t="s">
        <v>121</v>
      </c>
    </row>
    <row r="4" spans="1:14" x14ac:dyDescent="0.25">
      <c r="A4">
        <v>24</v>
      </c>
      <c r="B4" t="s">
        <v>189</v>
      </c>
      <c r="C4" t="s">
        <v>169</v>
      </c>
      <c r="D4" s="1">
        <v>5010792542676</v>
      </c>
      <c r="E4" t="s">
        <v>190</v>
      </c>
      <c r="F4" t="s">
        <v>62</v>
      </c>
      <c r="G4" t="s">
        <v>63</v>
      </c>
      <c r="H4">
        <v>9.1999999999999993</v>
      </c>
      <c r="I4" t="s">
        <v>185</v>
      </c>
      <c r="J4" t="s">
        <v>118</v>
      </c>
      <c r="K4" t="s">
        <v>66</v>
      </c>
      <c r="L4" t="s">
        <v>191</v>
      </c>
      <c r="M4" t="s">
        <v>192</v>
      </c>
      <c r="N4" t="s">
        <v>188</v>
      </c>
    </row>
    <row r="5" spans="1:14" x14ac:dyDescent="0.25">
      <c r="A5">
        <v>23</v>
      </c>
      <c r="B5" t="s">
        <v>182</v>
      </c>
      <c r="C5" t="s">
        <v>183</v>
      </c>
      <c r="D5" s="1">
        <v>5010792542737</v>
      </c>
      <c r="E5" t="s">
        <v>184</v>
      </c>
      <c r="F5" t="s">
        <v>62</v>
      </c>
      <c r="G5" t="s">
        <v>63</v>
      </c>
      <c r="H5">
        <v>7.73</v>
      </c>
      <c r="I5" t="s">
        <v>185</v>
      </c>
      <c r="J5" t="s">
        <v>118</v>
      </c>
      <c r="K5" t="s">
        <v>66</v>
      </c>
      <c r="L5" t="s">
        <v>186</v>
      </c>
      <c r="M5" t="s">
        <v>187</v>
      </c>
      <c r="N5" t="s">
        <v>188</v>
      </c>
    </row>
    <row r="6" spans="1:14" x14ac:dyDescent="0.25">
      <c r="A6">
        <v>21</v>
      </c>
      <c r="B6" t="s">
        <v>168</v>
      </c>
      <c r="C6" t="s">
        <v>169</v>
      </c>
      <c r="D6" s="1">
        <v>5010792749549</v>
      </c>
      <c r="E6" t="s">
        <v>170</v>
      </c>
      <c r="F6" t="s">
        <v>16</v>
      </c>
      <c r="G6" t="s">
        <v>171</v>
      </c>
      <c r="H6">
        <v>6.59</v>
      </c>
      <c r="I6" t="s">
        <v>172</v>
      </c>
      <c r="J6" t="s">
        <v>173</v>
      </c>
      <c r="K6" t="s">
        <v>20</v>
      </c>
      <c r="L6" t="s">
        <v>174</v>
      </c>
      <c r="M6" t="s">
        <v>175</v>
      </c>
      <c r="N6" t="s">
        <v>42</v>
      </c>
    </row>
    <row r="7" spans="1:14" x14ac:dyDescent="0.25">
      <c r="A7">
        <v>33</v>
      </c>
      <c r="B7" t="s">
        <v>248</v>
      </c>
      <c r="C7" t="s">
        <v>84</v>
      </c>
      <c r="D7" s="1">
        <v>5010853203508</v>
      </c>
      <c r="E7" t="s">
        <v>100</v>
      </c>
      <c r="F7" t="s">
        <v>62</v>
      </c>
      <c r="G7" t="s">
        <v>63</v>
      </c>
      <c r="H7">
        <v>3.66</v>
      </c>
      <c r="I7" t="s">
        <v>87</v>
      </c>
      <c r="J7" t="s">
        <v>249</v>
      </c>
      <c r="K7" t="s">
        <v>20</v>
      </c>
      <c r="L7" t="s">
        <v>250</v>
      </c>
      <c r="M7" t="s">
        <v>251</v>
      </c>
      <c r="N7" t="s">
        <v>42</v>
      </c>
    </row>
    <row r="8" spans="1:14" x14ac:dyDescent="0.25">
      <c r="A8">
        <v>10</v>
      </c>
      <c r="B8" t="s">
        <v>83</v>
      </c>
      <c r="C8" t="s">
        <v>84</v>
      </c>
      <c r="D8" s="1">
        <v>5010853235530</v>
      </c>
      <c r="E8" t="s">
        <v>85</v>
      </c>
      <c r="F8" t="s">
        <v>16</v>
      </c>
      <c r="G8" t="s">
        <v>86</v>
      </c>
      <c r="H8">
        <v>7.66</v>
      </c>
      <c r="I8" t="s">
        <v>87</v>
      </c>
      <c r="J8" t="s">
        <v>88</v>
      </c>
      <c r="K8" t="s">
        <v>20</v>
      </c>
      <c r="L8" t="s">
        <v>89</v>
      </c>
      <c r="M8" t="s">
        <v>90</v>
      </c>
      <c r="N8" t="s">
        <v>91</v>
      </c>
    </row>
    <row r="9" spans="1:14" x14ac:dyDescent="0.25">
      <c r="A9">
        <v>29</v>
      </c>
      <c r="B9" t="s">
        <v>222</v>
      </c>
      <c r="C9" t="s">
        <v>223</v>
      </c>
      <c r="D9" s="1">
        <v>5012823030039</v>
      </c>
      <c r="E9" t="s">
        <v>224</v>
      </c>
      <c r="F9" t="s">
        <v>62</v>
      </c>
      <c r="G9" t="s">
        <v>63</v>
      </c>
      <c r="H9">
        <v>10.62</v>
      </c>
      <c r="I9" t="s">
        <v>225</v>
      </c>
      <c r="J9" t="s">
        <v>118</v>
      </c>
      <c r="K9" t="s">
        <v>66</v>
      </c>
      <c r="L9" t="s">
        <v>226</v>
      </c>
      <c r="M9" t="s">
        <v>227</v>
      </c>
      <c r="N9" t="s">
        <v>228</v>
      </c>
    </row>
    <row r="10" spans="1:14" x14ac:dyDescent="0.25">
      <c r="A10">
        <v>32</v>
      </c>
      <c r="B10" t="s">
        <v>240</v>
      </c>
      <c r="C10" t="s">
        <v>241</v>
      </c>
      <c r="D10" s="1">
        <v>5012904004188</v>
      </c>
      <c r="E10" t="s">
        <v>242</v>
      </c>
      <c r="F10" t="s">
        <v>16</v>
      </c>
      <c r="G10" t="s">
        <v>243</v>
      </c>
      <c r="H10">
        <v>1.94</v>
      </c>
      <c r="I10" t="s">
        <v>244</v>
      </c>
      <c r="J10" t="s">
        <v>245</v>
      </c>
      <c r="K10" t="s">
        <v>35</v>
      </c>
      <c r="L10" t="s">
        <v>246</v>
      </c>
      <c r="M10" t="s">
        <v>247</v>
      </c>
      <c r="N10" t="s">
        <v>112</v>
      </c>
    </row>
    <row r="11" spans="1:14" x14ac:dyDescent="0.25">
      <c r="A11">
        <v>18</v>
      </c>
      <c r="B11" t="s">
        <v>143</v>
      </c>
      <c r="C11" t="s">
        <v>144</v>
      </c>
      <c r="D11" s="1">
        <v>5012904061204</v>
      </c>
      <c r="E11" t="s">
        <v>139</v>
      </c>
      <c r="F11" t="s">
        <v>16</v>
      </c>
      <c r="G11" t="s">
        <v>145</v>
      </c>
      <c r="H11">
        <v>0.67</v>
      </c>
      <c r="I11" t="s">
        <v>146</v>
      </c>
      <c r="J11" t="s">
        <v>147</v>
      </c>
      <c r="K11" t="s">
        <v>20</v>
      </c>
      <c r="L11" t="s">
        <v>148</v>
      </c>
      <c r="M11" t="s">
        <v>149</v>
      </c>
      <c r="N11" t="s">
        <v>150</v>
      </c>
    </row>
    <row r="12" spans="1:14" x14ac:dyDescent="0.25">
      <c r="A12">
        <v>35</v>
      </c>
      <c r="B12" t="s">
        <v>259</v>
      </c>
      <c r="C12" t="s">
        <v>241</v>
      </c>
      <c r="D12" s="1">
        <v>5012904148738</v>
      </c>
      <c r="E12" t="s">
        <v>260</v>
      </c>
      <c r="F12" t="s">
        <v>16</v>
      </c>
      <c r="G12" t="s">
        <v>243</v>
      </c>
      <c r="H12">
        <v>1.75</v>
      </c>
      <c r="I12" t="s">
        <v>261</v>
      </c>
      <c r="J12" t="s">
        <v>262</v>
      </c>
      <c r="K12" t="s">
        <v>20</v>
      </c>
      <c r="L12" t="s">
        <v>263</v>
      </c>
      <c r="M12" t="s">
        <v>264</v>
      </c>
      <c r="N12" t="s">
        <v>265</v>
      </c>
    </row>
    <row r="13" spans="1:14" x14ac:dyDescent="0.25">
      <c r="A13">
        <v>30</v>
      </c>
      <c r="B13" t="s">
        <v>229</v>
      </c>
      <c r="C13" t="s">
        <v>202</v>
      </c>
      <c r="D13" s="1">
        <v>5013159004428</v>
      </c>
      <c r="E13" t="s">
        <v>230</v>
      </c>
      <c r="F13" t="s">
        <v>62</v>
      </c>
      <c r="G13" t="s">
        <v>63</v>
      </c>
      <c r="H13">
        <v>2.44</v>
      </c>
      <c r="I13" t="s">
        <v>231</v>
      </c>
      <c r="J13" t="s">
        <v>118</v>
      </c>
      <c r="K13" t="s">
        <v>66</v>
      </c>
      <c r="L13" t="s">
        <v>232</v>
      </c>
      <c r="M13" t="s">
        <v>233</v>
      </c>
      <c r="N13" t="s">
        <v>121</v>
      </c>
    </row>
    <row r="14" spans="1:14" x14ac:dyDescent="0.25">
      <c r="A14">
        <v>26</v>
      </c>
      <c r="B14" t="s">
        <v>201</v>
      </c>
      <c r="C14" t="s">
        <v>202</v>
      </c>
      <c r="D14" s="1">
        <v>5013159300353</v>
      </c>
      <c r="E14" t="s">
        <v>203</v>
      </c>
      <c r="F14" t="s">
        <v>16</v>
      </c>
      <c r="G14" t="s">
        <v>204</v>
      </c>
      <c r="H14">
        <v>1.84</v>
      </c>
      <c r="I14" t="s">
        <v>205</v>
      </c>
      <c r="J14" t="s">
        <v>206</v>
      </c>
      <c r="K14" t="s">
        <v>35</v>
      </c>
      <c r="L14" t="s">
        <v>207</v>
      </c>
      <c r="M14" t="s">
        <v>208</v>
      </c>
      <c r="N14" t="s">
        <v>112</v>
      </c>
    </row>
    <row r="15" spans="1:14" x14ac:dyDescent="0.25">
      <c r="A15">
        <v>22</v>
      </c>
      <c r="B15" t="s">
        <v>176</v>
      </c>
      <c r="C15" t="s">
        <v>177</v>
      </c>
      <c r="D15" s="1">
        <v>5014348241525</v>
      </c>
      <c r="E15" t="s">
        <v>131</v>
      </c>
      <c r="F15" t="s">
        <v>16</v>
      </c>
      <c r="G15" t="s">
        <v>178</v>
      </c>
      <c r="H15">
        <v>2.56</v>
      </c>
      <c r="I15" t="s">
        <v>18</v>
      </c>
      <c r="J15" t="s">
        <v>179</v>
      </c>
      <c r="K15" t="s">
        <v>35</v>
      </c>
      <c r="L15" t="s">
        <v>180</v>
      </c>
      <c r="M15" t="s">
        <v>181</v>
      </c>
      <c r="N15" t="s">
        <v>112</v>
      </c>
    </row>
    <row r="16" spans="1:14" x14ac:dyDescent="0.25">
      <c r="A16">
        <v>25</v>
      </c>
      <c r="B16" t="s">
        <v>193</v>
      </c>
      <c r="C16" t="s">
        <v>194</v>
      </c>
      <c r="D16" s="1">
        <v>5019200117338</v>
      </c>
      <c r="E16" t="s">
        <v>195</v>
      </c>
      <c r="F16" t="s">
        <v>62</v>
      </c>
      <c r="G16" t="s">
        <v>63</v>
      </c>
      <c r="H16">
        <v>4.57</v>
      </c>
      <c r="I16" t="s">
        <v>196</v>
      </c>
      <c r="J16" t="s">
        <v>197</v>
      </c>
      <c r="K16" t="s">
        <v>66</v>
      </c>
      <c r="L16" t="s">
        <v>198</v>
      </c>
      <c r="M16" t="s">
        <v>199</v>
      </c>
      <c r="N16" t="s">
        <v>200</v>
      </c>
    </row>
    <row r="17" spans="1:14" x14ac:dyDescent="0.25">
      <c r="A17">
        <v>34</v>
      </c>
      <c r="B17" t="s">
        <v>252</v>
      </c>
      <c r="C17" t="s">
        <v>253</v>
      </c>
      <c r="D17" s="1">
        <v>5022704000013</v>
      </c>
      <c r="E17" t="s">
        <v>254</v>
      </c>
      <c r="F17" t="s">
        <v>16</v>
      </c>
      <c r="G17" t="s">
        <v>255</v>
      </c>
      <c r="H17">
        <v>0.91</v>
      </c>
      <c r="I17" t="s">
        <v>18</v>
      </c>
      <c r="J17" t="s">
        <v>256</v>
      </c>
      <c r="K17" t="s">
        <v>35</v>
      </c>
      <c r="L17" t="s">
        <v>257</v>
      </c>
      <c r="M17" t="s">
        <v>258</v>
      </c>
      <c r="N17" t="s">
        <v>112</v>
      </c>
    </row>
    <row r="18" spans="1:14" x14ac:dyDescent="0.25">
      <c r="A18">
        <v>15</v>
      </c>
      <c r="B18" t="s">
        <v>122</v>
      </c>
      <c r="C18" t="s">
        <v>123</v>
      </c>
      <c r="D18" s="1">
        <v>5026180033572</v>
      </c>
      <c r="E18" t="s">
        <v>124</v>
      </c>
      <c r="F18" t="s">
        <v>116</v>
      </c>
      <c r="G18" t="s">
        <v>63</v>
      </c>
      <c r="H18" s="3">
        <v>0.94</v>
      </c>
      <c r="I18" t="s">
        <v>125</v>
      </c>
      <c r="J18" t="s">
        <v>118</v>
      </c>
      <c r="K18" t="s">
        <v>66</v>
      </c>
      <c r="L18" t="s">
        <v>126</v>
      </c>
      <c r="M18" t="s">
        <v>127</v>
      </c>
      <c r="N18" t="s">
        <v>128</v>
      </c>
    </row>
    <row r="19" spans="1:14" x14ac:dyDescent="0.25">
      <c r="A19">
        <v>17</v>
      </c>
      <c r="B19" t="s">
        <v>137</v>
      </c>
      <c r="C19" t="s">
        <v>138</v>
      </c>
      <c r="D19" s="1">
        <v>5030481940088</v>
      </c>
      <c r="E19" t="s">
        <v>139</v>
      </c>
      <c r="F19" t="s">
        <v>116</v>
      </c>
      <c r="G19" t="s">
        <v>63</v>
      </c>
      <c r="H19">
        <v>0.67</v>
      </c>
      <c r="I19" t="s">
        <v>125</v>
      </c>
      <c r="J19" t="s">
        <v>118</v>
      </c>
      <c r="K19" t="s">
        <v>66</v>
      </c>
      <c r="L19" t="s">
        <v>140</v>
      </c>
      <c r="M19" t="s">
        <v>141</v>
      </c>
      <c r="N19" t="s">
        <v>142</v>
      </c>
    </row>
    <row r="20" spans="1:14" x14ac:dyDescent="0.25">
      <c r="A20">
        <v>28</v>
      </c>
      <c r="B20" t="s">
        <v>216</v>
      </c>
      <c r="C20" t="s">
        <v>217</v>
      </c>
      <c r="D20" s="1">
        <v>5036200121479</v>
      </c>
      <c r="E20" t="s">
        <v>218</v>
      </c>
      <c r="F20" t="s">
        <v>62</v>
      </c>
      <c r="G20" t="s">
        <v>63</v>
      </c>
      <c r="H20">
        <v>2.2200000000000002</v>
      </c>
      <c r="I20" t="s">
        <v>219</v>
      </c>
      <c r="J20" t="s">
        <v>118</v>
      </c>
      <c r="K20" t="s">
        <v>66</v>
      </c>
      <c r="L20" t="s">
        <v>220</v>
      </c>
      <c r="M20" t="s">
        <v>221</v>
      </c>
      <c r="N20" t="s">
        <v>121</v>
      </c>
    </row>
    <row r="21" spans="1:14" x14ac:dyDescent="0.25">
      <c r="A21">
        <v>19</v>
      </c>
      <c r="B21" t="s">
        <v>151</v>
      </c>
      <c r="C21" t="s">
        <v>152</v>
      </c>
      <c r="D21" s="1">
        <v>5038135558504</v>
      </c>
      <c r="E21" t="s">
        <v>153</v>
      </c>
      <c r="F21" t="s">
        <v>16</v>
      </c>
      <c r="G21" t="s">
        <v>154</v>
      </c>
      <c r="H21">
        <v>3.23</v>
      </c>
      <c r="I21" t="s">
        <v>155</v>
      </c>
      <c r="J21" t="s">
        <v>156</v>
      </c>
      <c r="K21" t="s">
        <v>35</v>
      </c>
      <c r="L21" t="s">
        <v>157</v>
      </c>
      <c r="M21" t="s">
        <v>158</v>
      </c>
      <c r="N21" t="s">
        <v>38</v>
      </c>
    </row>
    <row r="22" spans="1:14" x14ac:dyDescent="0.25">
      <c r="A22">
        <v>20</v>
      </c>
      <c r="B22" t="s">
        <v>159</v>
      </c>
      <c r="C22" t="s">
        <v>160</v>
      </c>
      <c r="D22" s="1">
        <v>5039295201040</v>
      </c>
      <c r="E22" t="s">
        <v>161</v>
      </c>
      <c r="F22" t="s">
        <v>16</v>
      </c>
      <c r="G22" t="s">
        <v>162</v>
      </c>
      <c r="H22">
        <v>3.89</v>
      </c>
      <c r="I22" t="s">
        <v>163</v>
      </c>
      <c r="J22" t="s">
        <v>164</v>
      </c>
      <c r="K22" t="s">
        <v>35</v>
      </c>
      <c r="L22" t="s">
        <v>165</v>
      </c>
      <c r="M22" t="s">
        <v>166</v>
      </c>
      <c r="N22" t="s">
        <v>167</v>
      </c>
    </row>
    <row r="23" spans="1:14" x14ac:dyDescent="0.25">
      <c r="A23">
        <v>5</v>
      </c>
      <c r="B23" t="s">
        <v>43</v>
      </c>
      <c r="C23" t="s">
        <v>44</v>
      </c>
      <c r="D23" s="1">
        <v>5050028016069</v>
      </c>
      <c r="E23" t="s">
        <v>45</v>
      </c>
      <c r="F23" t="s">
        <v>16</v>
      </c>
      <c r="G23" t="s">
        <v>46</v>
      </c>
      <c r="H23">
        <v>2.99</v>
      </c>
      <c r="I23" t="s">
        <v>47</v>
      </c>
      <c r="J23" t="s">
        <v>48</v>
      </c>
      <c r="K23" t="s">
        <v>20</v>
      </c>
      <c r="L23" t="s">
        <v>49</v>
      </c>
      <c r="M23" t="s">
        <v>50</v>
      </c>
      <c r="N23" t="s">
        <v>38</v>
      </c>
    </row>
    <row r="24" spans="1:14" x14ac:dyDescent="0.25">
      <c r="A24">
        <v>9</v>
      </c>
      <c r="B24" t="s">
        <v>77</v>
      </c>
      <c r="C24" t="s">
        <v>52</v>
      </c>
      <c r="D24" s="1">
        <v>5053249228174</v>
      </c>
      <c r="E24" t="s">
        <v>53</v>
      </c>
      <c r="F24" t="s">
        <v>16</v>
      </c>
      <c r="G24" t="s">
        <v>78</v>
      </c>
      <c r="H24">
        <v>1.3</v>
      </c>
      <c r="I24" t="s">
        <v>79</v>
      </c>
      <c r="J24" t="s">
        <v>80</v>
      </c>
      <c r="K24" t="s">
        <v>35</v>
      </c>
      <c r="L24" t="s">
        <v>81</v>
      </c>
      <c r="M24" t="s">
        <v>82</v>
      </c>
      <c r="N24" t="s">
        <v>38</v>
      </c>
    </row>
    <row r="25" spans="1:14" x14ac:dyDescent="0.25">
      <c r="A25">
        <v>8</v>
      </c>
      <c r="B25" t="s">
        <v>70</v>
      </c>
      <c r="C25" t="s">
        <v>52</v>
      </c>
      <c r="D25" s="1">
        <v>5053249248295</v>
      </c>
      <c r="E25" t="s">
        <v>53</v>
      </c>
      <c r="F25" t="s">
        <v>16</v>
      </c>
      <c r="G25" t="s">
        <v>71</v>
      </c>
      <c r="H25">
        <f>0.7*1.2</f>
        <v>0.84</v>
      </c>
      <c r="I25" t="s">
        <v>72</v>
      </c>
      <c r="J25" t="s">
        <v>73</v>
      </c>
      <c r="K25" t="s">
        <v>35</v>
      </c>
      <c r="L25" t="s">
        <v>74</v>
      </c>
      <c r="M25" t="s">
        <v>75</v>
      </c>
      <c r="N25" t="s">
        <v>76</v>
      </c>
    </row>
    <row r="26" spans="1:14" x14ac:dyDescent="0.25">
      <c r="A26">
        <v>6</v>
      </c>
      <c r="B26" t="s">
        <v>51</v>
      </c>
      <c r="C26" t="s">
        <v>52</v>
      </c>
      <c r="D26" s="1">
        <v>5053249248356</v>
      </c>
      <c r="E26" t="s">
        <v>53</v>
      </c>
      <c r="F26" t="s">
        <v>16</v>
      </c>
      <c r="G26" t="s">
        <v>54</v>
      </c>
      <c r="H26">
        <f>0.73*1.2</f>
        <v>0.876</v>
      </c>
      <c r="I26" t="s">
        <v>55</v>
      </c>
      <c r="J26" t="s">
        <v>56</v>
      </c>
      <c r="K26" t="s">
        <v>35</v>
      </c>
      <c r="L26" t="s">
        <v>57</v>
      </c>
      <c r="M26" t="s">
        <v>58</v>
      </c>
      <c r="N26" t="s">
        <v>38</v>
      </c>
    </row>
    <row r="27" spans="1:14" x14ac:dyDescent="0.25">
      <c r="A27">
        <v>11</v>
      </c>
      <c r="B27" t="s">
        <v>92</v>
      </c>
      <c r="C27" t="s">
        <v>93</v>
      </c>
      <c r="D27" s="1">
        <v>5055170281372</v>
      </c>
      <c r="E27" t="s">
        <v>94</v>
      </c>
      <c r="F27" t="s">
        <v>62</v>
      </c>
      <c r="G27" t="s">
        <v>63</v>
      </c>
      <c r="H27">
        <v>1.61</v>
      </c>
      <c r="I27" t="s">
        <v>95</v>
      </c>
      <c r="J27" t="s">
        <v>96</v>
      </c>
      <c r="K27" t="s">
        <v>35</v>
      </c>
      <c r="L27" t="s">
        <v>97</v>
      </c>
      <c r="M27" t="s">
        <v>98</v>
      </c>
      <c r="N27" t="s">
        <v>42</v>
      </c>
    </row>
    <row r="28" spans="1:14" x14ac:dyDescent="0.25">
      <c r="H28">
        <v>6.95</v>
      </c>
    </row>
    <row r="29" spans="1:14" x14ac:dyDescent="0.25">
      <c r="A29">
        <v>7</v>
      </c>
      <c r="B29" t="s">
        <v>59</v>
      </c>
      <c r="C29" t="s">
        <v>60</v>
      </c>
      <c r="D29" s="1">
        <v>5059001500861</v>
      </c>
      <c r="E29" t="s">
        <v>61</v>
      </c>
      <c r="F29" t="s">
        <v>62</v>
      </c>
      <c r="G29" t="s">
        <v>63</v>
      </c>
      <c r="H29">
        <v>13.43</v>
      </c>
      <c r="I29" t="s">
        <v>64</v>
      </c>
      <c r="J29" t="s">
        <v>65</v>
      </c>
      <c r="K29" t="s">
        <v>66</v>
      </c>
      <c r="L29" t="s">
        <v>67</v>
      </c>
      <c r="M29" t="s">
        <v>68</v>
      </c>
      <c r="N29" t="s">
        <v>69</v>
      </c>
    </row>
    <row r="30" spans="1:14" x14ac:dyDescent="0.25">
      <c r="A30">
        <v>27</v>
      </c>
      <c r="B30" t="s">
        <v>209</v>
      </c>
      <c r="C30" t="s">
        <v>210</v>
      </c>
      <c r="D30" s="1">
        <v>5060187173633</v>
      </c>
      <c r="E30" t="s">
        <v>211</v>
      </c>
      <c r="F30" t="s">
        <v>62</v>
      </c>
      <c r="G30" t="s">
        <v>63</v>
      </c>
      <c r="H30">
        <v>3.1</v>
      </c>
      <c r="I30" t="s">
        <v>212</v>
      </c>
      <c r="J30" t="s">
        <v>213</v>
      </c>
      <c r="K30" t="s">
        <v>35</v>
      </c>
      <c r="L30" t="s">
        <v>214</v>
      </c>
      <c r="M30" t="s">
        <v>215</v>
      </c>
      <c r="N30" t="s">
        <v>42</v>
      </c>
    </row>
    <row r="31" spans="1:14" x14ac:dyDescent="0.25">
      <c r="A31">
        <v>31</v>
      </c>
      <c r="B31" t="s">
        <v>234</v>
      </c>
      <c r="C31" t="s">
        <v>210</v>
      </c>
      <c r="D31" s="1">
        <v>5060187175750</v>
      </c>
      <c r="E31" t="s">
        <v>235</v>
      </c>
      <c r="F31" t="s">
        <v>62</v>
      </c>
      <c r="G31" t="s">
        <v>63</v>
      </c>
      <c r="H31">
        <v>4.3</v>
      </c>
      <c r="I31" t="s">
        <v>236</v>
      </c>
      <c r="J31" t="s">
        <v>118</v>
      </c>
      <c r="K31" t="s">
        <v>66</v>
      </c>
      <c r="L31" t="s">
        <v>237</v>
      </c>
      <c r="M31" t="s">
        <v>238</v>
      </c>
      <c r="N31" t="s">
        <v>239</v>
      </c>
    </row>
    <row r="32" spans="1:14" x14ac:dyDescent="0.25">
      <c r="A32">
        <v>12</v>
      </c>
      <c r="B32" t="s">
        <v>99</v>
      </c>
      <c r="C32" t="s">
        <v>14</v>
      </c>
      <c r="D32" s="1">
        <v>5060357990107</v>
      </c>
      <c r="E32" t="s">
        <v>100</v>
      </c>
      <c r="F32" t="s">
        <v>16</v>
      </c>
      <c r="G32" t="s">
        <v>17</v>
      </c>
      <c r="H32">
        <v>3.66</v>
      </c>
      <c r="I32" t="s">
        <v>101</v>
      </c>
      <c r="J32" t="s">
        <v>27</v>
      </c>
      <c r="K32" t="s">
        <v>20</v>
      </c>
      <c r="L32" t="s">
        <v>102</v>
      </c>
      <c r="M32" t="s">
        <v>103</v>
      </c>
      <c r="N32" t="s">
        <v>104</v>
      </c>
    </row>
    <row r="33" spans="1:14" x14ac:dyDescent="0.25">
      <c r="A33">
        <v>4</v>
      </c>
      <c r="B33" t="s">
        <v>39</v>
      </c>
      <c r="C33" t="s">
        <v>14</v>
      </c>
      <c r="D33" s="1">
        <v>5060357990107</v>
      </c>
      <c r="E33" t="s">
        <v>25</v>
      </c>
      <c r="F33" t="s">
        <v>16</v>
      </c>
      <c r="G33" t="s">
        <v>17</v>
      </c>
      <c r="H33">
        <v>3.8</v>
      </c>
      <c r="I33" t="s">
        <v>33</v>
      </c>
      <c r="J33" t="s">
        <v>27</v>
      </c>
      <c r="K33" t="s">
        <v>20</v>
      </c>
      <c r="L33" t="s">
        <v>40</v>
      </c>
      <c r="M33" t="s">
        <v>41</v>
      </c>
      <c r="N33" t="s">
        <v>42</v>
      </c>
    </row>
    <row r="34" spans="1:14" x14ac:dyDescent="0.25">
      <c r="A34">
        <v>2</v>
      </c>
      <c r="B34" t="s">
        <v>24</v>
      </c>
      <c r="C34" t="s">
        <v>14</v>
      </c>
      <c r="D34" s="1">
        <v>5060357990114</v>
      </c>
      <c r="E34" t="s">
        <v>25</v>
      </c>
      <c r="F34" t="s">
        <v>16</v>
      </c>
      <c r="G34" t="s">
        <v>17</v>
      </c>
      <c r="H34">
        <v>3.8</v>
      </c>
      <c r="I34" t="s">
        <v>26</v>
      </c>
      <c r="J34" t="s">
        <v>27</v>
      </c>
      <c r="K34" t="s">
        <v>20</v>
      </c>
      <c r="L34" t="s">
        <v>28</v>
      </c>
      <c r="M34" t="s">
        <v>29</v>
      </c>
      <c r="N34" t="s">
        <v>30</v>
      </c>
    </row>
    <row r="35" spans="1:14" x14ac:dyDescent="0.25">
      <c r="A35">
        <v>1</v>
      </c>
      <c r="B35" t="s">
        <v>13</v>
      </c>
      <c r="C35" t="s">
        <v>14</v>
      </c>
      <c r="D35" s="1">
        <v>5060357990114</v>
      </c>
      <c r="E35" t="s">
        <v>15</v>
      </c>
      <c r="F35" t="s">
        <v>16</v>
      </c>
      <c r="G35" t="s">
        <v>17</v>
      </c>
      <c r="H35">
        <v>4.5</v>
      </c>
      <c r="I35" t="s">
        <v>18</v>
      </c>
      <c r="J35" t="s">
        <v>19</v>
      </c>
      <c r="K35" t="s">
        <v>20</v>
      </c>
      <c r="L35" t="s">
        <v>21</v>
      </c>
      <c r="M35" t="s">
        <v>22</v>
      </c>
      <c r="N35" t="s">
        <v>23</v>
      </c>
    </row>
    <row r="36" spans="1:14" x14ac:dyDescent="0.25">
      <c r="A36">
        <v>3</v>
      </c>
      <c r="B36" t="s">
        <v>31</v>
      </c>
      <c r="C36" t="s">
        <v>14</v>
      </c>
      <c r="D36" s="1">
        <v>5060357990121</v>
      </c>
      <c r="E36" t="s">
        <v>32</v>
      </c>
      <c r="F36" t="s">
        <v>16</v>
      </c>
      <c r="G36" t="s">
        <v>17</v>
      </c>
      <c r="H36">
        <v>4.8</v>
      </c>
      <c r="I36" t="s">
        <v>33</v>
      </c>
      <c r="J36" t="s">
        <v>34</v>
      </c>
      <c r="K36" t="s">
        <v>35</v>
      </c>
      <c r="L36" t="s">
        <v>36</v>
      </c>
      <c r="M36" t="s">
        <v>37</v>
      </c>
      <c r="N36" t="s">
        <v>38</v>
      </c>
    </row>
    <row r="37" spans="1:14" x14ac:dyDescent="0.25">
      <c r="A37">
        <v>13</v>
      </c>
      <c r="B37" t="s">
        <v>105</v>
      </c>
      <c r="C37" t="s">
        <v>106</v>
      </c>
      <c r="D37" s="1">
        <v>8710908183812</v>
      </c>
      <c r="E37" t="s">
        <v>107</v>
      </c>
      <c r="F37" t="s">
        <v>16</v>
      </c>
      <c r="G37" t="s">
        <v>108</v>
      </c>
      <c r="H37">
        <v>7.24</v>
      </c>
      <c r="I37" t="s">
        <v>18</v>
      </c>
      <c r="J37" t="s">
        <v>109</v>
      </c>
      <c r="K37" t="s">
        <v>35</v>
      </c>
      <c r="L37" t="s">
        <v>110</v>
      </c>
      <c r="M37" t="s">
        <v>111</v>
      </c>
      <c r="N37" t="s">
        <v>112</v>
      </c>
    </row>
    <row r="38" spans="1:14" x14ac:dyDescent="0.25">
      <c r="A38">
        <v>36</v>
      </c>
      <c r="B38" t="s">
        <v>266</v>
      </c>
      <c r="C38" t="s">
        <v>267</v>
      </c>
      <c r="D38" s="1">
        <v>8711252100531</v>
      </c>
      <c r="E38" t="s">
        <v>268</v>
      </c>
      <c r="F38" t="s">
        <v>16</v>
      </c>
      <c r="G38" t="s">
        <v>269</v>
      </c>
      <c r="H38">
        <v>2.35</v>
      </c>
      <c r="I38" t="s">
        <v>270</v>
      </c>
      <c r="J38" t="s">
        <v>271</v>
      </c>
      <c r="K38" t="s">
        <v>20</v>
      </c>
      <c r="L38" t="s">
        <v>272</v>
      </c>
      <c r="M38" t="s">
        <v>273</v>
      </c>
      <c r="N38" t="s">
        <v>42</v>
      </c>
    </row>
  </sheetData>
  <autoFilter ref="A1:P1" xr:uid="{6BD045E8-A630-4981-AEC7-AE68FAD102CC}">
    <sortState xmlns:xlrd2="http://schemas.microsoft.com/office/spreadsheetml/2017/richdata2" ref="A2:P37">
      <sortCondition ref="D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2026-01-16T07:44:16Z</dcterms:created>
  <dcterms:modified xsi:type="dcterms:W3CDTF">2026-01-16T20:56:42Z</dcterms:modified>
</cp:coreProperties>
</file>
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8800" windowHeight="14460" tabRatio="600" firstSheet="0" activeTab="0" autoFilterDateGrouping="1"/>
  </bookViews>
  <sheets>
    <sheet xmlns:r="http://schemas.openxmlformats.org/officeDocument/2006/relationships" name="NETP Cash Flow Calculato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£#,##0.00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FFFFFFFF"/>
      <sz val="11"/>
    </font>
    <font>
      <name val="Calibri"/>
      <b val="1"/>
      <i val="1"/>
      <sz val="9"/>
    </font>
    <font>
      <name val="Calibri"/>
      <b val="1"/>
      <sz val="11"/>
    </font>
    <font>
      <name val="Calibri"/>
      <b val="1"/>
      <color rgb="FF0000FF"/>
      <sz val="11"/>
    </font>
    <font>
      <name val="Calibri"/>
      <i val="1"/>
      <sz val="9"/>
    </font>
    <font>
      <name val="Calibri"/>
      <i val="1"/>
      <color rgb="FFFF0000"/>
      <sz val="9"/>
    </font>
    <font>
      <name val="Calibri"/>
      <i val="1"/>
      <color rgb="FF008000"/>
      <sz val="9"/>
    </font>
    <font>
      <name val="Calibri"/>
      <b val="1"/>
      <sz val="12"/>
    </font>
    <font>
      <name val="Calibri"/>
      <b val="1"/>
      <sz val="11"/>
    </font>
    <font>
      <name val="Calibri"/>
      <b val="1"/>
      <color rgb="FFFF0000"/>
      <sz val="11"/>
    </font>
    <font>
      <name val="Calibri"/>
      <b val="1"/>
      <color rgb="FF008000"/>
      <sz val="11"/>
    </font>
    <font>
      <name val="Calibri"/>
      <b val="1"/>
      <color rgb="FFFF0000"/>
      <sz val="10"/>
    </font>
    <font>
      <name val="Calibri"/>
      <i val="1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6F2FF"/>
      </patternFill>
    </fill>
    <fill>
      <patternFill patternType="solid">
        <fgColor rgb="FFFFF2CC"/>
      </patternFill>
    </fill>
    <fill>
      <patternFill patternType="solid">
        <fgColor rgb="FFD3D3D3"/>
      </patternFill>
    </fill>
    <fill>
      <patternFill patternType="solid">
        <fgColor rgb="FFFFD966"/>
      </patternFill>
    </fill>
    <fill>
      <patternFill patternType="solid">
        <fgColor rgb="FFFFC7CE"/>
      </patternFill>
    </fill>
    <fill>
      <patternFill patternType="solid">
        <fgColor rgb="FFC6E0B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5" fillId="4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6" borderId="0" pivotButton="0" quotePrefix="0" xfId="0"/>
    <xf numFmtId="0" fontId="0" fillId="0" borderId="1" pivotButton="0" quotePrefix="0" xfId="0"/>
    <xf numFmtId="164" fontId="11" fillId="7" borderId="1" pivotButton="0" quotePrefix="0" xfId="0"/>
    <xf numFmtId="0" fontId="5" fillId="8" borderId="0" pivotButton="0" quotePrefix="0" xfId="0"/>
    <xf numFmtId="0" fontId="10" fillId="9" borderId="0" pivotButton="0" quotePrefix="0" xfId="0"/>
    <xf numFmtId="164" fontId="10" fillId="9" borderId="2" pivotButton="0" quotePrefix="0" xfId="0"/>
    <xf numFmtId="164" fontId="7" fillId="0" borderId="0" pivotButton="0" quotePrefix="0" xfId="0"/>
    <xf numFmtId="0" fontId="5" fillId="9" borderId="0" pivotButton="0" quotePrefix="0" xfId="0"/>
    <xf numFmtId="10" fontId="0" fillId="0" borderId="0" pivotButton="0" quotePrefix="0" xfId="0"/>
    <xf numFmtId="164" fontId="12" fillId="0" borderId="0" pivotButton="0" quotePrefix="0" xfId="0"/>
    <xf numFmtId="164" fontId="13" fillId="0" borderId="0" pivotButton="0" quotePrefix="0" xfId="0"/>
    <xf numFmtId="0" fontId="14" fillId="0" borderId="0" pivotButton="0" quotePrefix="0" xfId="0"/>
    <xf numFmtId="0" fontId="10" fillId="5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0" fontId="15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tabSelected="1" topLeftCell="A12" workbookViewId="0">
      <selection activeCell="C20" sqref="C20"/>
    </sheetView>
  </sheetViews>
  <sheetFormatPr baseColWidth="8" defaultRowHeight="15"/>
  <cols>
    <col width="35" customWidth="1" style="23" min="1" max="1"/>
    <col width="18" customWidth="1" style="23" min="2" max="2"/>
    <col width="35" customWidth="1" style="23" min="3" max="3"/>
  </cols>
  <sheetData>
    <row r="1" ht="18.75" customHeight="1" s="23">
      <c r="A1" s="24" t="inlineStr">
        <is>
          <t>Amazon FBA NETP Cash Flow Calculator</t>
        </is>
      </c>
    </row>
    <row r="2">
      <c r="A2" s="26" t="inlineStr">
        <is>
          <t>VAT-registered NETP (Amazon OMP deemed supplier)</t>
        </is>
      </c>
    </row>
    <row r="4">
      <c r="A4" s="1" t="inlineStr">
        <is>
          <t>Item</t>
        </is>
      </c>
      <c r="B4" s="1" t="inlineStr">
        <is>
          <t>NETP</t>
        </is>
      </c>
      <c r="C4" s="2" t="inlineStr">
        <is>
          <t>Notes</t>
        </is>
      </c>
    </row>
    <row r="6">
      <c r="A6" s="3" t="inlineStr">
        <is>
          <t>INPUTS</t>
        </is>
      </c>
    </row>
    <row r="7">
      <c r="A7" t="inlineStr">
        <is>
          <t>Selling Price (inc VAT)</t>
        </is>
      </c>
      <c r="B7" s="4" t="n">
        <v>13.82</v>
      </c>
      <c r="C7" s="5" t="inlineStr">
        <is>
          <t>What customer pays Amazon</t>
        </is>
      </c>
    </row>
    <row r="8">
      <c r="A8" t="inlineStr">
        <is>
          <t>Supplier Price (inc VAT)</t>
        </is>
      </c>
      <c r="B8" s="4" t="n">
        <v>2.28</v>
      </c>
      <c r="C8" s="5" t="inlineStr">
        <is>
          <t>What you pay supplier</t>
        </is>
      </c>
    </row>
    <row r="9">
      <c r="A9" t="inlineStr">
        <is>
          <t>FBA Fee (ex VAT)</t>
        </is>
      </c>
      <c r="B9" s="4" t="n">
        <v>3.48</v>
      </c>
    </row>
    <row r="10">
      <c r="A10" t="inlineStr">
        <is>
          <t>Referral Fee (ex VAT)</t>
        </is>
      </c>
      <c r="B10" s="4" t="n">
        <v>2.07</v>
      </c>
    </row>
    <row r="11">
      <c r="A11" t="inlineStr">
        <is>
          <t>Prep Cost (ex VAT)</t>
        </is>
      </c>
      <c r="B11" s="4" t="n">
        <v>0.5</v>
      </c>
    </row>
    <row r="12">
      <c r="A12" t="inlineStr">
        <is>
          <t>Shipping Cost (ex VAT)</t>
        </is>
      </c>
      <c r="B12" s="4" t="n">
        <v>0</v>
      </c>
    </row>
    <row r="14">
      <c r="A14" s="6" t="inlineStr">
        <is>
          <t>HELPER CALCULATIONS</t>
        </is>
      </c>
    </row>
    <row r="15">
      <c r="A15" t="inlineStr">
        <is>
          <t>Selling Price (ex VAT)</t>
        </is>
      </c>
      <c r="B15" s="7">
        <f>B7/1.2</f>
        <v/>
      </c>
      <c r="C15" s="5" t="inlineStr">
        <is>
          <t>Revenue portion (VAT excluded)</t>
        </is>
      </c>
    </row>
    <row r="16">
      <c r="A16" t="inlineStr">
        <is>
          <t>Total Fees (inc VAT)</t>
        </is>
      </c>
      <c r="B16" s="7">
        <f>(B9+B10+B11+B12)*1.2</f>
        <v/>
      </c>
      <c r="C16" s="5" t="inlineStr">
        <is>
          <t>Fees you actually pay Amazon</t>
        </is>
      </c>
    </row>
    <row r="18">
      <c r="A18" s="6" t="inlineStr">
        <is>
          <t>VAT ANALYSIS</t>
        </is>
      </c>
    </row>
    <row r="19">
      <c r="A19" t="inlineStr">
        <is>
          <t>VAT Amazon keeps (not yours)</t>
        </is>
      </c>
      <c r="B19" s="7">
        <f>B7-B15</f>
        <v/>
      </c>
      <c r="C19" s="8" t="inlineStr">
        <is>
          <t>Amazon handles this as deemed supplier</t>
        </is>
      </c>
    </row>
    <row r="20">
      <c r="A20" t="inlineStr">
        <is>
          <t>Input VAT (supplier)</t>
        </is>
      </c>
      <c r="B20" s="7">
        <f>B8-B8/1.2</f>
        <v/>
      </c>
      <c r="C20" s="5" t="inlineStr">
        <is>
          <t>VAT paid to supplier</t>
        </is>
      </c>
    </row>
    <row r="21">
      <c r="A21" t="inlineStr">
        <is>
          <t>Input VAT (fees)</t>
        </is>
      </c>
      <c r="B21" s="7">
        <f>(B9+B10+B11+B12)*0.2</f>
        <v/>
      </c>
      <c r="C21" s="5" t="inlineStr">
        <is>
          <t>VAT on Amazon fees</t>
        </is>
      </c>
    </row>
    <row r="22">
      <c r="A22" t="inlineStr">
        <is>
          <t>Total Input VAT (you can reclaim)</t>
        </is>
      </c>
      <c r="B22" s="7">
        <f>B20+B21</f>
        <v/>
      </c>
      <c r="C22" s="9" t="inlineStr">
        <is>
          <t>HMRC refunds this after 3-6 months</t>
        </is>
      </c>
    </row>
    <row r="24" ht="15.75" customHeight="1" s="23">
      <c r="A24" s="22" t="inlineStr">
        <is>
          <t>CASH FLOW BREAKDOWN</t>
        </is>
      </c>
    </row>
    <row r="26">
      <c r="A26" s="10" t="inlineStr">
        <is>
          <t>IMMEDIATE CASH (Day 1)</t>
        </is>
      </c>
    </row>
    <row r="27">
      <c r="A27" t="inlineStr">
        <is>
          <t>Amazon pays you (ex-VAT only)</t>
        </is>
      </c>
      <c r="B27" s="7">
        <f>B15</f>
        <v/>
      </c>
      <c r="C27" s="8" t="inlineStr">
        <is>
          <t>Amazon keeps the £1.87 VAT</t>
        </is>
      </c>
    </row>
    <row r="28">
      <c r="A28" t="inlineStr">
        <is>
          <t>Less: Supplier payment</t>
        </is>
      </c>
      <c r="B28" s="7">
        <f>-B8</f>
        <v/>
      </c>
    </row>
    <row r="29">
      <c r="A29" t="inlineStr">
        <is>
          <t>Less: Amazon fees</t>
        </is>
      </c>
      <c r="B29" s="7">
        <f>-B16</f>
        <v/>
      </c>
    </row>
    <row r="30">
      <c r="A30" s="11" t="inlineStr">
        <is>
          <t>IMMEDIATE CASH POSITION</t>
        </is>
      </c>
      <c r="B30" s="12">
        <f>B27+B28+B29</f>
        <v/>
      </c>
      <c r="C30" s="8" t="inlineStr">
        <is>
          <t>NEGATIVE - you are down cash!</t>
        </is>
      </c>
    </row>
    <row r="32">
      <c r="A32" s="13" t="inlineStr">
        <is>
          <t>DELAYED CASH (3-6 Months Later)</t>
        </is>
      </c>
    </row>
    <row r="33">
      <c r="A33" t="inlineStr">
        <is>
          <t>VAT refund from HMRC</t>
        </is>
      </c>
      <c r="B33" s="7">
        <f>B22</f>
        <v/>
      </c>
      <c r="C33" s="9" t="inlineStr">
        <is>
          <t>After submitting VAT return</t>
        </is>
      </c>
    </row>
    <row r="35" ht="15.75" customHeight="1" s="23">
      <c r="A35" s="14" t="inlineStr">
        <is>
          <t>TOTAL PROFIT (FINAL)</t>
        </is>
      </c>
    </row>
    <row r="36" ht="15.75" customHeight="1" s="23">
      <c r="A36" t="inlineStr">
        <is>
          <t>Net Profit per Unit</t>
        </is>
      </c>
      <c r="B36" s="15">
        <f>B30+B33</f>
        <v/>
      </c>
      <c r="C36" s="5" t="inlineStr">
        <is>
          <t>Immediate cash + VAT refund</t>
        </is>
      </c>
    </row>
    <row r="37">
      <c r="A37" t="inlineStr">
        <is>
          <t>Verification (alternative calc)</t>
        </is>
      </c>
      <c r="B37" s="16">
        <f>B27+B33+B28+B29</f>
        <v/>
      </c>
      <c r="C37" s="5" t="inlineStr">
        <is>
          <t>Should equal Net Profit above</t>
        </is>
      </c>
    </row>
    <row r="39">
      <c r="A39" s="17" t="inlineStr">
        <is>
          <t>KEY METRICS</t>
        </is>
      </c>
    </row>
    <row r="40">
      <c r="A40" t="inlineStr">
        <is>
          <t>ROI (on invested capital)</t>
        </is>
      </c>
      <c r="B40" s="18">
        <f>B36/(B8/1.2+B11+B12)</f>
        <v/>
      </c>
      <c r="C40" s="5" t="inlineStr">
        <is>
          <t>Return on supplier + prep + ship</t>
        </is>
      </c>
    </row>
    <row r="41">
      <c r="A41" t="inlineStr">
        <is>
          <t>Profit Margin (on revenue)</t>
        </is>
      </c>
      <c r="B41" s="18">
        <f>B36/B15</f>
        <v/>
      </c>
      <c r="C41" s="5" t="inlineStr">
        <is>
          <t>Profit as % of ex-VAT revenue</t>
        </is>
      </c>
    </row>
    <row r="42">
      <c r="A42" t="inlineStr">
        <is>
          <t>Breakeven Price (inc VAT)</t>
        </is>
      </c>
      <c r="B42" s="7">
        <f>((B8/1.2)+(B9+B10+B11+B12))*1.2</f>
        <v/>
      </c>
      <c r="C42" s="5" t="inlineStr">
        <is>
          <t>Price to achieve zero profit</t>
        </is>
      </c>
    </row>
    <row r="44" ht="15.75" customHeight="1" s="23">
      <c r="A44" s="22" t="inlineStr">
        <is>
          <t>CASH FLOW TIMING SUMMARY</t>
        </is>
      </c>
    </row>
    <row r="46">
      <c r="A46" t="inlineStr">
        <is>
          <t>Day 1 (Sale Completes):</t>
        </is>
      </c>
      <c r="B46" s="19">
        <f>B30</f>
        <v/>
      </c>
      <c r="C46" s="8" t="inlineStr">
        <is>
          <t>You are DOWN this amount in cash</t>
        </is>
      </c>
    </row>
    <row r="47">
      <c r="A47" t="inlineStr">
        <is>
          <t>Working capital tied up:</t>
        </is>
      </c>
      <c r="B47" s="19">
        <f>B22</f>
        <v/>
      </c>
      <c r="C47" s="8" t="inlineStr">
        <is>
          <t>Waiting for HMRC refund</t>
        </is>
      </c>
    </row>
    <row r="48">
      <c r="A48" t="inlineStr">
        <is>
          <t>After 3-6 months:</t>
        </is>
      </c>
      <c r="B48" s="20">
        <f>B36</f>
        <v/>
      </c>
      <c r="C48" s="9" t="inlineStr">
        <is>
          <t>Final profit (after VAT refund)</t>
        </is>
      </c>
    </row>
    <row r="50">
      <c r="A50" s="21" t="inlineStr">
        <is>
          <t>KEY INSIGHT:</t>
        </is>
      </c>
      <c r="B50" s="25" t="inlineStr">
        <is>
          <t>Your final profit is the same as UK seller, but your cash flow is much worse!</t>
        </is>
      </c>
    </row>
  </sheetData>
  <mergeCells count="5">
    <mergeCell ref="A44:C44"/>
    <mergeCell ref="A1:C1"/>
    <mergeCell ref="B50:C50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2025-11-10T10:34:19Z</dcterms:created>
  <dcterms:modified xmlns:dcterms="http://purl.org/dc/terms/" xmlns:xsi="http://www.w3.org/2001/XMLSchema-instance" xsi:type="dcterms:W3CDTF">2026-02-09T13:04:46Z</dcterms:modified>
  <cp:lastModifiedBy>Chros Blacko</cp:lastModifiedBy>
</cp:coreProperties>
</file>
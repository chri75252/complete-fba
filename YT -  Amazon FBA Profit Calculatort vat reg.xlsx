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"/>
    </mc:Choice>
  </mc:AlternateContent>
  <xr:revisionPtr revIDLastSave="0" documentId="13_ncr:1_{2A45C632-EE29-482F-904E-55507CD70638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7" i="1"/>
  <c r="B36" i="1"/>
  <c r="B12" i="1" l="1"/>
  <c r="B11" i="1"/>
  <c r="B13" i="1" l="1"/>
  <c r="B15" i="1" s="1"/>
  <c r="B14" i="1"/>
  <c r="B16" i="1" l="1"/>
  <c r="B34" i="1" s="1"/>
  <c r="B18" i="1"/>
  <c r="B35" i="1" s="1"/>
  <c r="B17" i="1"/>
  <c r="B39" i="1" l="1"/>
  <c r="B40" i="1" s="1"/>
  <c r="B42" i="1" s="1"/>
  <c r="B41" i="1" l="1"/>
  <c r="B43" i="1"/>
</calcChain>
</file>

<file path=xl/sharedStrings.xml><?xml version="1.0" encoding="utf-8"?>
<sst xmlns="http://schemas.openxmlformats.org/spreadsheetml/2006/main" count="29" uniqueCount="25">
  <si>
    <t xml:space="preserve">Product </t>
  </si>
  <si>
    <t>Selling Price (Inc VAT)</t>
  </si>
  <si>
    <t>FBA Fee (ex VAT)</t>
  </si>
  <si>
    <t>Refferal Fee (ex VAT)</t>
  </si>
  <si>
    <t>Prep Cost (ex VAT)</t>
  </si>
  <si>
    <t>Shipping Cost (ex VAT)</t>
  </si>
  <si>
    <t>20% VAT Registered Seller</t>
  </si>
  <si>
    <t>Output VAT (charged by you)</t>
  </si>
  <si>
    <t>Input VAT (paid by you)</t>
  </si>
  <si>
    <t>Net Proceeds</t>
  </si>
  <si>
    <t>HMRC</t>
  </si>
  <si>
    <t>Net Profit</t>
  </si>
  <si>
    <t>ROI</t>
  </si>
  <si>
    <t>Breakeven Sell</t>
  </si>
  <si>
    <t>Profit Margin</t>
  </si>
  <si>
    <t>Supplier Price (inc VAT)</t>
  </si>
  <si>
    <t>NETP</t>
  </si>
  <si>
    <t xml:space="preserve">example: </t>
  </si>
  <si>
    <t>Non-VAT Registered Seller</t>
  </si>
  <si>
    <t>Supplier Price VAT</t>
  </si>
  <si>
    <t>FBA Fee VAT</t>
  </si>
  <si>
    <t>Refferal Fee VAT</t>
  </si>
  <si>
    <t>Prep Cost VAT</t>
  </si>
  <si>
    <t>Shipping Cost VAT</t>
  </si>
  <si>
    <t>Net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</si>
</sst>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theme="5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2" borderId="4" xfId="0" applyFont="1" applyFill="1" applyBorder="1"/>
    <xf numFmtId="0" fontId="2" fillId="0" borderId="5" xfId="0" applyFont="1" applyBorder="1"/>
    <xf numFmtId="0" fontId="2" fillId="2" borderId="6" xfId="0" applyFont="1" applyFill="1" applyBorder="1"/>
    <xf numFmtId="0" fontId="2" fillId="0" borderId="0" xfId="0" applyFont="1"/>
    <xf numFmtId="0" fontId="1" fillId="0" borderId="0" xfId="0" applyFont="1"/>
    <xf numFmtId="2" fontId="2" fillId="3" borderId="4" xfId="0" applyNumberFormat="1" applyFont="1" applyFill="1" applyBorder="1"/>
    <xf numFmtId="2" fontId="2" fillId="0" borderId="4" xfId="0" applyNumberFormat="1" applyFont="1" applyBorder="1"/>
    <xf numFmtId="2" fontId="2" fillId="4" borderId="4" xfId="0" applyNumberFormat="1" applyFont="1" applyFill="1" applyBorder="1"/>
    <xf numFmtId="10" fontId="2" fillId="0" borderId="4" xfId="0" applyNumberFormat="1" applyFont="1" applyBorder="1"/>
    <xf numFmtId="2" fontId="3" fillId="0" borderId="4" xfId="0" applyNumberFormat="1" applyFont="1" applyBorder="1"/>
    <xf numFmtId="0" fontId="2" fillId="0" borderId="4" xfId="0" applyFont="1" applyBorder="1"/>
    <xf numFmtId="0" fontId="1" fillId="0" borderId="3" xfId="0" applyFont="1" applyBorder="1"/>
    <xf numFmtId="0" fontId="4" fillId="0" borderId="4" xfId="0" applyFont="1" applyBorder="1"/>
    <xf numFmtId="2" fontId="4" fillId="0" borderId="4" xfId="0" applyNumberFormat="1" applyFont="1" applyBorder="1"/>
    <xf numFmtId="10" fontId="2" fillId="0" borderId="6" xfId="0" applyNumberFormat="1" applyFont="1" applyBorder="1"/>
    <xf numFmtId="0" fontId="5" fillId="0" borderId="0" xfId="0" applyFont="1"/>
    <xf numFmtId="0" fontId="6" fillId="0" borderId="3" xfId="0" applyFont="1" applyBorder="1"/>
    <xf numFmtId="0" fontId="7" fillId="0" borderId="3" xfId="0" applyFont="1" applyBorder="1"/>
    <xf numFmtId="0" fontId="6" fillId="0" borderId="4" xfId="0" applyFont="1" applyBorder="1"/>
    <xf numFmtId="0" fontId="8" fillId="0" borderId="4" xfId="0" applyFont="1" applyBorder="1"/>
    <xf numFmtId="2" fontId="8" fillId="0" borderId="4" xfId="0" applyNumberFormat="1" applyFont="1" applyBorder="1"/>
    <xf numFmtId="2" fontId="6" fillId="0" borderId="4" xfId="0" applyNumberFormat="1" applyFont="1" applyBorder="1"/>
    <xf numFmtId="2" fontId="6" fillId="4" borderId="4" xfId="0" applyNumberFormat="1" applyFont="1" applyFill="1" applyBorder="1"/>
    <xf numFmtId="10" fontId="6" fillId="0" borderId="4" xfId="0" applyNumberFormat="1" applyFont="1" applyBorder="1"/>
    <xf numFmtId="2" fontId="9" fillId="0" borderId="4" xfId="0" applyNumberFormat="1" applyFont="1" applyBorder="1"/>
    <xf numFmtId="0" fontId="6" fillId="0" borderId="5" xfId="0" applyFont="1" applyBorder="1"/>
    <xf numFmtId="10" fontId="6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2:D43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22.42578125" customWidth="1"/>
  </cols>
  <sheetData>
    <row r="2" spans="1:3" ht="12.75" x14ac:dyDescent="0.2">
      <c r="A2" s="1" t="s">
        <v>0</v>
      </c>
      <c r="B2" s="2"/>
    </row>
    <row r="3" spans="1:3" ht="12.75" x14ac:dyDescent="0.2">
      <c r="A3" s="20" t="s">
        <v>15</v>
      </c>
      <c r="B3" s="4">
        <v>2.2999999999999998</v>
      </c>
    </row>
    <row r="4" spans="1:3" ht="12.75" x14ac:dyDescent="0.2">
      <c r="A4" s="3" t="s">
        <v>1</v>
      </c>
      <c r="B4" s="4">
        <v>10.73</v>
      </c>
    </row>
    <row r="5" spans="1:3" ht="12.75" x14ac:dyDescent="0.2">
      <c r="A5" s="3" t="s">
        <v>2</v>
      </c>
      <c r="B5" s="4">
        <v>1.61</v>
      </c>
    </row>
    <row r="6" spans="1:3" ht="12.75" x14ac:dyDescent="0.2">
      <c r="A6" s="3" t="s">
        <v>3</v>
      </c>
      <c r="B6" s="4">
        <v>3.04</v>
      </c>
    </row>
    <row r="7" spans="1:3" ht="12.75" x14ac:dyDescent="0.2">
      <c r="A7" s="3" t="s">
        <v>4</v>
      </c>
      <c r="B7" s="4">
        <v>0.6</v>
      </c>
    </row>
    <row r="8" spans="1:3" ht="12.75" x14ac:dyDescent="0.2">
      <c r="A8" s="5" t="s">
        <v>5</v>
      </c>
      <c r="B8" s="6">
        <v>0</v>
      </c>
      <c r="C8" s="7"/>
    </row>
    <row r="10" spans="1:3" ht="12.75" x14ac:dyDescent="0.2">
      <c r="A10" s="1" t="s">
        <v>6</v>
      </c>
      <c r="B10" s="2"/>
      <c r="C10" s="8"/>
    </row>
    <row r="11" spans="1:3" ht="12.75" x14ac:dyDescent="0.2">
      <c r="A11" s="3" t="s">
        <v>7</v>
      </c>
      <c r="B11" s="9">
        <f>B4*20/120</f>
        <v>1.7883333333333336</v>
      </c>
    </row>
    <row r="12" spans="1:3" ht="12.75" x14ac:dyDescent="0.2">
      <c r="A12" s="3" t="s">
        <v>8</v>
      </c>
      <c r="B12" s="9">
        <f>(B3/1.2)*20%</f>
        <v>0.3833333333333333</v>
      </c>
    </row>
    <row r="13" spans="1:3" ht="12.75" x14ac:dyDescent="0.2">
      <c r="A13" s="3" t="s">
        <v>9</v>
      </c>
      <c r="B13" s="10">
        <f>B4-B5-B6-B11</f>
        <v>4.2916666666666679</v>
      </c>
    </row>
    <row r="14" spans="1:3" ht="12.75" x14ac:dyDescent="0.2">
      <c r="A14" s="3" t="s">
        <v>10</v>
      </c>
      <c r="B14" s="10">
        <f>B11-B12</f>
        <v>1.4050000000000002</v>
      </c>
    </row>
    <row r="15" spans="1:3" ht="12.75" x14ac:dyDescent="0.2">
      <c r="A15" s="3" t="s">
        <v>11</v>
      </c>
      <c r="B15" s="11">
        <f>(B13-(B3/1.2)-B7-B8)</f>
        <v>1.7750000000000012</v>
      </c>
    </row>
    <row r="16" spans="1:3" ht="12.75" x14ac:dyDescent="0.2">
      <c r="A16" s="3" t="s">
        <v>12</v>
      </c>
      <c r="B16" s="12">
        <f>B15/((B3/1.2)+B7)</f>
        <v>0.70529801324503361</v>
      </c>
    </row>
    <row r="17" spans="1:2" ht="12.75" x14ac:dyDescent="0.2">
      <c r="A17" s="3" t="s">
        <v>13</v>
      </c>
      <c r="B17" s="13">
        <f>(B4-B11-B15)</f>
        <v>7.1666666666666652</v>
      </c>
    </row>
    <row r="18" spans="1:2" ht="12.75" x14ac:dyDescent="0.2">
      <c r="A18" s="3" t="s">
        <v>14</v>
      </c>
      <c r="B18" s="12">
        <f>(B15/(B4/1.2))</f>
        <v>0.19850885368126758</v>
      </c>
    </row>
    <row r="19" spans="1:2" ht="12.75" x14ac:dyDescent="0.2">
      <c r="A19" s="3"/>
      <c r="B19" s="14"/>
    </row>
    <row r="20" spans="1:2" ht="12.75" x14ac:dyDescent="0.2">
      <c r="A20" s="15" t="s">
        <v>16</v>
      </c>
      <c r="B20" s="14"/>
    </row>
    <row r="21" spans="1:2" ht="12.75" x14ac:dyDescent="0.2">
      <c r="A21" s="3"/>
      <c r="B21" s="16"/>
    </row>
    <row r="22" spans="1:2" ht="12.75" x14ac:dyDescent="0.2">
      <c r="A22" s="3"/>
      <c r="B22" s="16"/>
    </row>
    <row r="23" spans="1:2" ht="12.75" x14ac:dyDescent="0.2">
      <c r="A23" s="3"/>
      <c r="B23" s="16"/>
    </row>
    <row r="24" spans="1:2" ht="12.75" x14ac:dyDescent="0.2">
      <c r="A24" s="3"/>
      <c r="B24" s="16"/>
    </row>
    <row r="25" spans="1:2" ht="12.75" x14ac:dyDescent="0.2">
      <c r="A25" s="3"/>
      <c r="B25" s="17"/>
    </row>
    <row r="26" spans="1:2" ht="12.75" x14ac:dyDescent="0.2">
      <c r="A26" s="3"/>
      <c r="B26" s="10"/>
    </row>
    <row r="27" spans="1:2" ht="12.75" x14ac:dyDescent="0.2">
      <c r="A27" s="3"/>
      <c r="B27" s="11"/>
    </row>
    <row r="28" spans="1:2" ht="12.75" x14ac:dyDescent="0.2">
      <c r="A28" s="3"/>
      <c r="B28" s="12"/>
    </row>
    <row r="29" spans="1:2" ht="12.75" x14ac:dyDescent="0.2">
      <c r="A29" s="3"/>
      <c r="B29" s="13"/>
    </row>
    <row r="30" spans="1:2" ht="12.75" x14ac:dyDescent="0.2">
      <c r="A30" s="5"/>
      <c r="B30" s="18"/>
    </row>
    <row r="32" spans="1:2" ht="15.75" customHeight="1" x14ac:dyDescent="0.2">
      <c r="A32" t="s">
        <v>17</v>
      </c>
    </row>
    <row r="33" spans="1:4" ht="12.75" x14ac:dyDescent="0.2">
      <c r="A33" s="21" t="s">
        <v>18</v>
      </c>
      <c r="B33" s="22"/>
      <c r="C33" s="19"/>
      <c r="D33" s="19"/>
    </row>
    <row r="34" spans="1:4" ht="15.75" customHeight="1" x14ac:dyDescent="0.2">
      <c r="A34" s="20" t="s">
        <v>19</v>
      </c>
      <c r="B34" s="23">
        <f>((B16))</f>
        <v>0.70529801324503361</v>
      </c>
      <c r="C34" s="19"/>
      <c r="D34" s="19"/>
    </row>
    <row r="35" spans="1:4" ht="15.75" customHeight="1" x14ac:dyDescent="0.2">
      <c r="A35" s="20" t="s">
        <v>20</v>
      </c>
      <c r="B35" s="23">
        <f t="shared" ref="B35:B38" si="0">B18*20%</f>
        <v>3.9701770736253521E-2</v>
      </c>
      <c r="C35" s="19"/>
      <c r="D35" s="19"/>
    </row>
    <row r="36" spans="1:4" ht="12.75" x14ac:dyDescent="0.2">
      <c r="A36" s="20" t="s">
        <v>21</v>
      </c>
      <c r="B36" s="23">
        <f t="shared" si="0"/>
        <v>0</v>
      </c>
      <c r="C36" s="19"/>
      <c r="D36" s="19"/>
    </row>
    <row r="37" spans="1:4" ht="12.75" x14ac:dyDescent="0.2">
      <c r="A37" s="20" t="s">
        <v>22</v>
      </c>
      <c r="B37" s="23">
        <f t="shared" si="0"/>
        <v>0</v>
      </c>
      <c r="C37" s="19"/>
      <c r="D37" s="19"/>
    </row>
    <row r="38" spans="1:4" ht="15.75" customHeight="1" x14ac:dyDescent="0.2">
      <c r="A38" s="20" t="s">
        <v>23</v>
      </c>
      <c r="B38" s="24">
        <f t="shared" si="0"/>
        <v>0</v>
      </c>
    </row>
    <row r="39" spans="1:4" ht="15.75" customHeight="1" x14ac:dyDescent="0.2">
      <c r="A39" s="20" t="s">
        <v>24</v>
      </c>
      <c r="B39" s="25">
        <f>(B17-(B18+B19+B20+B21+B35+B36+B37+B38))</f>
        <v>6.9284560422491444</v>
      </c>
    </row>
    <row r="40" spans="1:4" ht="15.75" customHeight="1" x14ac:dyDescent="0.2">
      <c r="A40" s="20" t="s">
        <v>11</v>
      </c>
      <c r="B40" s="26">
        <f>(B39-(B16))</f>
        <v>6.2231580290041109</v>
      </c>
    </row>
    <row r="41" spans="1:4" ht="15.75" customHeight="1" x14ac:dyDescent="0.2">
      <c r="A41" s="20" t="s">
        <v>12</v>
      </c>
      <c r="B41" s="27">
        <f>B40/(B16)</f>
        <v>8.823444717179532</v>
      </c>
    </row>
    <row r="42" spans="1:4" ht="15.75" customHeight="1" x14ac:dyDescent="0.2">
      <c r="A42" s="20" t="s">
        <v>13</v>
      </c>
      <c r="B42" s="28">
        <f>B17-B40</f>
        <v>0.94350863766255433</v>
      </c>
    </row>
    <row r="43" spans="1:4" ht="15.75" customHeight="1" x14ac:dyDescent="0.2">
      <c r="A43" s="29" t="s">
        <v>14</v>
      </c>
      <c r="B43" s="30">
        <f>B40/B17</f>
        <v>0.86834763195406217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hadd</dc:creator>
  <cp:lastModifiedBy>Chros Blacko</cp:lastModifiedBy>
  <dcterms:created xsi:type="dcterms:W3CDTF">2024-10-08T02:26:40Z</dcterms:created>
  <dcterms:modified xsi:type="dcterms:W3CDTF">2025-10-01T02:04:22Z</dcterms:modified>
</cp:coreProperties>
</file>
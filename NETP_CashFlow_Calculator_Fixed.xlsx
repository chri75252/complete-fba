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chris\Desktop\Amazon-FBA-Agent-System-v32 - latest good - Copy (8) - Copy - Copy - POSTLONGRUNPREKIRO2 beforecompletion-\"/>
    </mc:Choice>
  </mc:AlternateContent>
  <xr:revisionPtr revIDLastSave="0" documentId="13_ncr:1_{9AE45187-15B5-472E-AAA7-5750B4014AA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NETP Cash Flow Calculato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2" i="1" l="1"/>
  <c r="B28" i="1"/>
  <c r="B21" i="1"/>
  <c r="B20" i="1"/>
  <c r="B22" i="1" s="1"/>
  <c r="B16" i="1"/>
  <c r="B29" i="1" s="1"/>
  <c r="B15" i="1"/>
  <c r="B27" i="1" s="1"/>
  <c r="B30" i="1" l="1"/>
  <c r="B47" i="1"/>
  <c r="B33" i="1"/>
  <c r="B37" i="1" s="1"/>
  <c r="B19" i="1"/>
  <c r="B46" i="1" l="1"/>
  <c r="B36" i="1"/>
  <c r="B48" i="1" l="1"/>
  <c r="B41" i="1"/>
  <c r="B40" i="1"/>
</calcChain>
</file>

<file path=xl/sharedStrings.xml><?xml version="1.0" encoding="utf-8"?>
<sst xmlns="http://schemas.openxmlformats.org/spreadsheetml/2006/main" count="60" uniqueCount="60">
  <si>
    <t>Amazon FBA NETP Cash Flow Calculator</t>
  </si>
  <si>
    <t>VAT-registered NETP (Amazon OMP deemed supplier)</t>
  </si>
  <si>
    <t>Item</t>
  </si>
  <si>
    <t>NETP</t>
  </si>
  <si>
    <t>Notes</t>
  </si>
  <si>
    <t>INPUTS</t>
  </si>
  <si>
    <t>Selling Price (inc VAT)</t>
  </si>
  <si>
    <t>What customer pays Amazon</t>
  </si>
  <si>
    <t>Supplier Price (inc VAT)</t>
  </si>
  <si>
    <t>What you pay supplier</t>
  </si>
  <si>
    <t>FBA Fee (ex VAT)</t>
  </si>
  <si>
    <t>Referral Fee (ex VAT)</t>
  </si>
  <si>
    <t>Prep Cost (ex VAT)</t>
  </si>
  <si>
    <t>Shipping Cost (ex VAT)</t>
  </si>
  <si>
    <t>HELPER CALCULATIONS</t>
  </si>
  <si>
    <t>Selling Price (ex VAT)</t>
  </si>
  <si>
    <t>Revenue portion (VAT excluded)</t>
  </si>
  <si>
    <t>Total Fees (inc VAT)</t>
  </si>
  <si>
    <t>Fees you actually pay Amazon</t>
  </si>
  <si>
    <t>VAT ANALYSIS</t>
  </si>
  <si>
    <t>VAT Amazon keeps (not yours)</t>
  </si>
  <si>
    <t>Amazon handles this as deemed supplier</t>
  </si>
  <si>
    <t>Input VAT (supplier)</t>
  </si>
  <si>
    <t>VAT paid to supplier</t>
  </si>
  <si>
    <t>Input VAT (fees)</t>
  </si>
  <si>
    <t>VAT on Amazon fees</t>
  </si>
  <si>
    <t>Total Input VAT (you can reclaim)</t>
  </si>
  <si>
    <t>HMRC refunds this after 3-6 months</t>
  </si>
  <si>
    <t>CASH FLOW BREAKDOWN</t>
  </si>
  <si>
    <t>IMMEDIATE CASH (Day 1)</t>
  </si>
  <si>
    <t>Amazon pays you (ex-VAT only)</t>
  </si>
  <si>
    <t>Amazon keeps the £1.87 VAT</t>
  </si>
  <si>
    <t>Less: Supplier payment</t>
  </si>
  <si>
    <t>Less: Amazon fees</t>
  </si>
  <si>
    <t>IMMEDIATE CASH POSITION</t>
  </si>
  <si>
    <t>NEGATIVE - you are down cash!</t>
  </si>
  <si>
    <t>DELAYED CASH (3-6 Months Later)</t>
  </si>
  <si>
    <t>VAT refund from HMRC</t>
  </si>
  <si>
    <t>After submitting VAT return</t>
  </si>
  <si>
    <t>TOTAL PROFIT (FINAL)</t>
  </si>
  <si>
    <t>Net Profit per Unit</t>
  </si>
  <si>
    <t>Immediate cash + VAT refund</t>
  </si>
  <si>
    <t>Verification (alternative calc)</t>
  </si>
  <si>
    <t>Should equal Net Profit above</t>
  </si>
  <si>
    <t>KEY METRICS</t>
  </si>
  <si>
    <t>ROI (on invested capital)</t>
  </si>
  <si>
    <t>Return on supplier + prep + ship</t>
  </si>
  <si>
    <t>Profit Margin (on revenue)</t>
  </si>
  <si>
    <t>Profit as % of ex-VAT revenue</t>
  </si>
  <si>
    <t>Breakeven Price (inc VAT)</t>
  </si>
  <si>
    <t>Price to achieve zero profit</t>
  </si>
  <si>
    <t>CASH FLOW TIMING SUMMARY</t>
  </si>
  <si>
    <t>Day 1 (Sale Completes):</t>
  </si>
  <si>
    <t>You are DOWN this amount in cash</t>
  </si>
  <si>
    <t>Working capital tied up:</t>
  </si>
  <si>
    <t>Waiting for HMRC refund</t>
  </si>
  <si>
    <t>After 3-6 months:</t>
  </si>
  <si>
    <t>Final profit (after VAT refund)</t>
  </si>
  <si>
    <t>KEY INSIGHT:</t>
  </si>
  <si>
    <t>Your final profit is the same as UK seller, but your cash flow is much worse!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</si>
</sst>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£#,##0.00"/>
  </numFmts>
  <fonts count="16" x14ac:knownFonts="1">
    <font>
      <sz val="11"/>
      <color theme="1"/>
      <name val="Calibri"/>
      <family val="2"/>
      <scheme val="minor"/>
    </font>
    <font>
      <b/>
      <sz val="14"/>
      <name val="Calibri"/>
    </font>
    <font>
      <i/>
      <sz val="10"/>
      <name val="Calibri"/>
    </font>
    <font>
      <b/>
      <sz val="11"/>
      <color rgb="FFFFFFFF"/>
      <name val="Calibri"/>
    </font>
    <font>
      <b/>
      <i/>
      <sz val="9"/>
      <name val="Calibri"/>
    </font>
    <font>
      <b/>
      <sz val="11"/>
      <name val="Calibri"/>
    </font>
    <font>
      <b/>
      <sz val="11"/>
      <color rgb="FF0000FF"/>
      <name val="Calibri"/>
    </font>
    <font>
      <i/>
      <sz val="9"/>
      <name val="Calibri"/>
    </font>
    <font>
      <i/>
      <sz val="9"/>
      <color rgb="FFFF0000"/>
      <name val="Calibri"/>
    </font>
    <font>
      <i/>
      <sz val="9"/>
      <color rgb="FF008000"/>
      <name val="Calibri"/>
    </font>
    <font>
      <b/>
      <sz val="12"/>
      <name val="Calibri"/>
    </font>
    <font>
      <b/>
      <sz val="11"/>
      <name val="Calibri"/>
    </font>
    <font>
      <b/>
      <sz val="11"/>
      <color rgb="FFFF0000"/>
      <name val="Calibri"/>
    </font>
    <font>
      <b/>
      <sz val="11"/>
      <color rgb="FF008000"/>
      <name val="Calibri"/>
    </font>
    <font>
      <b/>
      <sz val="10"/>
      <color rgb="FFFF0000"/>
      <name val="Calibri"/>
    </font>
    <font>
      <i/>
      <sz val="10"/>
      <color rgb="FFFF0000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E6F2FF"/>
      </patternFill>
    </fill>
    <fill>
      <patternFill patternType="solid">
        <fgColor rgb="FFFFF2CC"/>
      </patternFill>
    </fill>
    <fill>
      <patternFill patternType="solid">
        <fgColor rgb="FFD3D3D3"/>
      </patternFill>
    </fill>
    <fill>
      <patternFill patternType="solid">
        <fgColor rgb="FFFFD966"/>
      </patternFill>
    </fill>
    <fill>
      <patternFill patternType="solid">
        <fgColor rgb="FFFFC7CE"/>
      </patternFill>
    </fill>
    <fill>
      <patternFill patternType="solid">
        <fgColor rgb="FFC6E0B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2" borderId="0" xfId="0" applyFont="1" applyFill="1" applyAlignment="1">
      <alignment horizontal="center"/>
    </xf>
    <xf numFmtId="0" fontId="4" fillId="0" borderId="0" xfId="0" applyFont="1"/>
    <xf numFmtId="0" fontId="5" fillId="3" borderId="0" xfId="0" applyFont="1" applyFill="1"/>
    <xf numFmtId="164" fontId="6" fillId="0" borderId="0" xfId="0" applyNumberFormat="1" applyFont="1"/>
    <xf numFmtId="0" fontId="7" fillId="0" borderId="0" xfId="0" applyFont="1"/>
    <xf numFmtId="0" fontId="5" fillId="4" borderId="0" xfId="0" applyFont="1" applyFill="1"/>
    <xf numFmtId="164" fontId="0" fillId="0" borderId="0" xfId="0" applyNumberFormat="1"/>
    <xf numFmtId="0" fontId="8" fillId="0" borderId="0" xfId="0" applyFont="1"/>
    <xf numFmtId="0" fontId="9" fillId="0" borderId="0" xfId="0" applyFont="1"/>
    <xf numFmtId="0" fontId="5" fillId="6" borderId="0" xfId="0" applyFont="1" applyFill="1"/>
    <xf numFmtId="0" fontId="0" fillId="0" borderId="1" xfId="0" applyBorder="1"/>
    <xf numFmtId="164" fontId="11" fillId="7" borderId="1" xfId="0" applyNumberFormat="1" applyFont="1" applyFill="1" applyBorder="1"/>
    <xf numFmtId="0" fontId="5" fillId="8" borderId="0" xfId="0" applyFont="1" applyFill="1"/>
    <xf numFmtId="0" fontId="10" fillId="9" borderId="0" xfId="0" applyFont="1" applyFill="1"/>
    <xf numFmtId="164" fontId="10" fillId="9" borderId="2" xfId="0" applyNumberFormat="1" applyFont="1" applyFill="1" applyBorder="1"/>
    <xf numFmtId="164" fontId="7" fillId="0" borderId="0" xfId="0" applyNumberFormat="1" applyFont="1"/>
    <xf numFmtId="0" fontId="5" fillId="9" borderId="0" xfId="0" applyFont="1" applyFill="1"/>
    <xf numFmtId="10" fontId="0" fillId="0" borderId="0" xfId="0" applyNumberFormat="1"/>
    <xf numFmtId="164" fontId="12" fillId="0" borderId="0" xfId="0" applyNumberFormat="1" applyFont="1"/>
    <xf numFmtId="164" fontId="13" fillId="0" borderId="0" xfId="0" applyNumberFormat="1" applyFont="1"/>
    <xf numFmtId="0" fontId="14" fillId="0" borderId="0" xfId="0" applyFont="1"/>
    <xf numFmtId="0" fontId="10" fillId="5" borderId="0" xfId="0" applyFont="1" applyFill="1" applyAlignment="1">
      <alignment horizontal="center"/>
    </xf>
    <xf numFmtId="0" fontId="0" fillId="0" borderId="0" xfId="0"/>
    <xf numFmtId="0" fontId="1" fillId="0" borderId="0" xfId="0" applyFont="1"/>
    <xf numFmtId="0" fontId="15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0"/>
  <sheetViews>
    <sheetView tabSelected="1" workbookViewId="0">
      <selection activeCell="B10" sqref="B10"/>
    </sheetView>
  </sheetViews>
  <sheetFormatPr defaultRowHeight="15" x14ac:dyDescent="0.25"/>
  <cols>
    <col min="1" max="1" width="35" customWidth="1"/>
    <col min="2" max="2" width="18" customWidth="1"/>
    <col min="3" max="3" width="35" customWidth="1"/>
  </cols>
  <sheetData>
    <row r="1" spans="1:3" ht="18.75" x14ac:dyDescent="0.3">
      <c r="A1" s="24" t="s">
        <v>0</v>
      </c>
      <c r="B1" s="23"/>
      <c r="C1" s="23"/>
    </row>
    <row r="2" spans="1:3" x14ac:dyDescent="0.25">
      <c r="A2" s="26" t="s">
        <v>1</v>
      </c>
      <c r="B2" s="23"/>
      <c r="C2" s="23"/>
    </row>
    <row r="4" spans="1:3" x14ac:dyDescent="0.25">
      <c r="A4" s="1" t="s">
        <v>2</v>
      </c>
      <c r="B4" s="1" t="s">
        <v>3</v>
      </c>
      <c r="C4" s="2" t="s">
        <v>4</v>
      </c>
    </row>
    <row r="6" spans="1:3" x14ac:dyDescent="0.25">
      <c r="A6" s="3" t="s">
        <v>5</v>
      </c>
    </row>
    <row r="7" spans="1:3" x14ac:dyDescent="0.25">
      <c r="A7" t="s">
        <v>6</v>
      </c>
      <c r="B7" s="4">
        <v>11.2</v>
      </c>
      <c r="C7" s="5" t="s">
        <v>7</v>
      </c>
    </row>
    <row r="8" spans="1:3" x14ac:dyDescent="0.25">
      <c r="A8" t="s">
        <v>8</v>
      </c>
      <c r="B8" s="4">
        <v>4.6319999999999997</v>
      </c>
      <c r="C8" s="5" t="s">
        <v>9</v>
      </c>
    </row>
    <row r="9" spans="1:3" x14ac:dyDescent="0.25">
      <c r="A9" t="s">
        <v>10</v>
      </c>
      <c r="B9" s="4">
        <v>1.65</v>
      </c>
    </row>
    <row r="10" spans="1:3" x14ac:dyDescent="0.25">
      <c r="A10" t="s">
        <v>11</v>
      </c>
      <c r="B10" s="4">
        <v>3</v>
      </c>
    </row>
    <row r="11" spans="1:3" x14ac:dyDescent="0.25">
      <c r="A11" t="s">
        <v>12</v>
      </c>
      <c r="B11" s="4">
        <v>0.55000000000000004</v>
      </c>
    </row>
    <row r="12" spans="1:3" x14ac:dyDescent="0.25">
      <c r="A12" t="s">
        <v>13</v>
      </c>
      <c r="B12" s="4">
        <v>0</v>
      </c>
    </row>
    <row r="14" spans="1:3" x14ac:dyDescent="0.25">
      <c r="A14" s="6" t="s">
        <v>14</v>
      </c>
    </row>
    <row r="15" spans="1:3" x14ac:dyDescent="0.25">
      <c r="A15" t="s">
        <v>15</v>
      </c>
      <c r="B15" s="7">
        <f>B7/1.2</f>
        <v>9.3333333333333339</v>
      </c>
      <c r="C15" s="5" t="s">
        <v>16</v>
      </c>
    </row>
    <row r="16" spans="1:3" x14ac:dyDescent="0.25">
      <c r="A16" t="s">
        <v>17</v>
      </c>
      <c r="B16" s="7">
        <f>(B9+B10+B11+B12)*1.2</f>
        <v>6.24</v>
      </c>
      <c r="C16" s="5" t="s">
        <v>18</v>
      </c>
    </row>
    <row r="18" spans="1:3" x14ac:dyDescent="0.25">
      <c r="A18" s="6" t="s">
        <v>19</v>
      </c>
    </row>
    <row r="19" spans="1:3" x14ac:dyDescent="0.25">
      <c r="A19" t="s">
        <v>20</v>
      </c>
      <c r="B19" s="7">
        <f>B7-B15</f>
        <v>1.8666666666666654</v>
      </c>
      <c r="C19" s="8" t="s">
        <v>21</v>
      </c>
    </row>
    <row r="20" spans="1:3" x14ac:dyDescent="0.25">
      <c r="A20" t="s">
        <v>22</v>
      </c>
      <c r="B20" s="7">
        <f>B8-B8/1.2</f>
        <v>0.7719999999999998</v>
      </c>
      <c r="C20" s="5" t="s">
        <v>23</v>
      </c>
    </row>
    <row r="21" spans="1:3" x14ac:dyDescent="0.25">
      <c r="A21" t="s">
        <v>24</v>
      </c>
      <c r="B21" s="7">
        <f>(B9+B10+B11+B12)*0.2</f>
        <v>1.04</v>
      </c>
      <c r="C21" s="5" t="s">
        <v>25</v>
      </c>
    </row>
    <row r="22" spans="1:3" x14ac:dyDescent="0.25">
      <c r="A22" t="s">
        <v>26</v>
      </c>
      <c r="B22" s="7">
        <f>B20+B21</f>
        <v>1.8119999999999998</v>
      </c>
      <c r="C22" s="9" t="s">
        <v>27</v>
      </c>
    </row>
    <row r="24" spans="1:3" ht="15.75" x14ac:dyDescent="0.25">
      <c r="A24" s="22" t="s">
        <v>28</v>
      </c>
      <c r="B24" s="23"/>
      <c r="C24" s="23"/>
    </row>
    <row r="26" spans="1:3" x14ac:dyDescent="0.25">
      <c r="A26" s="10" t="s">
        <v>29</v>
      </c>
    </row>
    <row r="27" spans="1:3" x14ac:dyDescent="0.25">
      <c r="A27" t="s">
        <v>30</v>
      </c>
      <c r="B27" s="7">
        <f>B15</f>
        <v>9.3333333333333339</v>
      </c>
      <c r="C27" s="8" t="s">
        <v>31</v>
      </c>
    </row>
    <row r="28" spans="1:3" x14ac:dyDescent="0.25">
      <c r="A28" t="s">
        <v>32</v>
      </c>
      <c r="B28" s="7">
        <f>-B8</f>
        <v>-4.6319999999999997</v>
      </c>
    </row>
    <row r="29" spans="1:3" x14ac:dyDescent="0.25">
      <c r="A29" t="s">
        <v>33</v>
      </c>
      <c r="B29" s="7">
        <f>-B16</f>
        <v>-6.24</v>
      </c>
    </row>
    <row r="30" spans="1:3" x14ac:dyDescent="0.25">
      <c r="A30" s="11" t="s">
        <v>34</v>
      </c>
      <c r="B30" s="12">
        <f>B27+B28+B29</f>
        <v>-1.538666666666666</v>
      </c>
      <c r="C30" s="8" t="s">
        <v>35</v>
      </c>
    </row>
    <row r="32" spans="1:3" x14ac:dyDescent="0.25">
      <c r="A32" s="13" t="s">
        <v>36</v>
      </c>
    </row>
    <row r="33" spans="1:3" x14ac:dyDescent="0.25">
      <c r="A33" t="s">
        <v>37</v>
      </c>
      <c r="B33" s="7">
        <f>B22</f>
        <v>1.8119999999999998</v>
      </c>
      <c r="C33" s="9" t="s">
        <v>38</v>
      </c>
    </row>
    <row r="35" spans="1:3" ht="15.75" x14ac:dyDescent="0.25">
      <c r="A35" s="14" t="s">
        <v>39</v>
      </c>
    </row>
    <row r="36" spans="1:3" ht="15.75" x14ac:dyDescent="0.25">
      <c r="A36" t="s">
        <v>40</v>
      </c>
      <c r="B36" s="15">
        <f>B30+B33</f>
        <v>0.27333333333333387</v>
      </c>
      <c r="C36" s="5" t="s">
        <v>41</v>
      </c>
    </row>
    <row r="37" spans="1:3" x14ac:dyDescent="0.25">
      <c r="A37" t="s">
        <v>42</v>
      </c>
      <c r="B37" s="16">
        <f>B27+B33+B28+B29</f>
        <v>0.27333333333333343</v>
      </c>
      <c r="C37" s="5" t="s">
        <v>43</v>
      </c>
    </row>
    <row r="39" spans="1:3" x14ac:dyDescent="0.25">
      <c r="A39" s="17" t="s">
        <v>44</v>
      </c>
    </row>
    <row r="40" spans="1:3" x14ac:dyDescent="0.25">
      <c r="A40" t="s">
        <v>45</v>
      </c>
      <c r="B40" s="18">
        <f>B36/(B8/1.2+B11+B12)</f>
        <v>6.1980347694633529E-2</v>
      </c>
      <c r="C40" s="5" t="s">
        <v>46</v>
      </c>
    </row>
    <row r="41" spans="1:3" x14ac:dyDescent="0.25">
      <c r="A41" t="s">
        <v>47</v>
      </c>
      <c r="B41" s="18">
        <f>B36/B15</f>
        <v>2.9285714285714342E-2</v>
      </c>
      <c r="C41" s="5" t="s">
        <v>48</v>
      </c>
    </row>
    <row r="42" spans="1:3" x14ac:dyDescent="0.25">
      <c r="A42" t="s">
        <v>49</v>
      </c>
      <c r="B42" s="7">
        <f>((B8/1.2)+(B9+B10+B11+B12))*1.2</f>
        <v>10.872</v>
      </c>
      <c r="C42" s="5" t="s">
        <v>50</v>
      </c>
    </row>
    <row r="44" spans="1:3" ht="15.75" x14ac:dyDescent="0.25">
      <c r="A44" s="22" t="s">
        <v>51</v>
      </c>
      <c r="B44" s="23"/>
      <c r="C44" s="23"/>
    </row>
    <row r="46" spans="1:3" x14ac:dyDescent="0.25">
      <c r="A46" t="s">
        <v>52</v>
      </c>
      <c r="B46" s="19">
        <f>B30</f>
        <v>-1.538666666666666</v>
      </c>
      <c r="C46" s="8" t="s">
        <v>53</v>
      </c>
    </row>
    <row r="47" spans="1:3" x14ac:dyDescent="0.25">
      <c r="A47" t="s">
        <v>54</v>
      </c>
      <c r="B47" s="19">
        <f>B22</f>
        <v>1.8119999999999998</v>
      </c>
      <c r="C47" s="8" t="s">
        <v>55</v>
      </c>
    </row>
    <row r="48" spans="1:3" x14ac:dyDescent="0.25">
      <c r="A48" t="s">
        <v>56</v>
      </c>
      <c r="B48" s="20">
        <f>B36</f>
        <v>0.27333333333333387</v>
      </c>
      <c r="C48" s="9" t="s">
        <v>57</v>
      </c>
    </row>
    <row r="50" spans="1:3" x14ac:dyDescent="0.25">
      <c r="A50" s="21" t="s">
        <v>58</v>
      </c>
      <c r="B50" s="25" t="s">
        <v>59</v>
      </c>
      <c r="C50" s="23"/>
    </row>
  </sheetData>
  <mergeCells count="5">
    <mergeCell ref="A44:C44"/>
    <mergeCell ref="A1:C1"/>
    <mergeCell ref="B50:C50"/>
    <mergeCell ref="A24:C24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NETP Cash Flow Calculator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Chros Blacko</cp:lastModifiedBy>
  <dcterms:created xsi:type="dcterms:W3CDTF">2025-11-10T10:34:19Z</dcterms:created>
  <dcterms:modified xsi:type="dcterms:W3CDTF">2025-11-10T19:10:17Z</dcterms:modified>
</cp:coreProperties>
</file>
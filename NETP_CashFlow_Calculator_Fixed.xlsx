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ris\Desktop\Amazon-FBA-Agent-System-v32 - latest good - Copy (8) - Copy - Copy - POSTLONGRUNPREKIRO2 beforecompletion-\"/>
    </mc:Choice>
  </mc:AlternateContent>
  <xr:revisionPtr revIDLastSave="0" documentId="13_ncr:1_{0EBBE437-E90C-4811-AD37-A9EF7E999076}" xr6:coauthVersionLast="47" xr6:coauthVersionMax="47" xr10:uidLastSave="{00000000-0000-0000-0000-000000000000}"/>
  <bookViews>
    <workbookView xWindow="0" yWindow="390" windowWidth="28800" windowHeight="14460" activeTab="1" xr2:uid="{00000000-000D-0000-FFFF-FFFF00000000}"/>
  </bookViews>
  <sheets>
    <sheet name="NETP Cash Flow Calculator" sheetId="1" r:id="rId1"/>
    <sheet name="Sheet1" sheetId="2" r:id="rId2"/>
    <sheet name="Inbound Receiving Log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2" l="1"/>
  <c r="F49" i="2"/>
  <c r="D51" i="2"/>
  <c r="F51" i="2"/>
  <c r="F52" i="2" s="1"/>
  <c r="G51" i="2" a="1"/>
  <c r="G51" i="2" s="1"/>
  <c r="G52" i="2" a="1"/>
  <c r="G52" i="2" s="1"/>
  <c r="F47" i="2"/>
  <c r="F46" i="2"/>
  <c r="F23" i="2"/>
  <c r="E23" i="2"/>
  <c r="D23" i="2"/>
  <c r="C23" i="2"/>
  <c r="B23" i="2"/>
  <c r="F21" i="2"/>
  <c r="E21" i="2"/>
  <c r="D21" i="2"/>
  <c r="B21" i="2"/>
  <c r="F20" i="2"/>
  <c r="E20" i="2"/>
  <c r="D20" i="2"/>
  <c r="B20" i="2"/>
  <c r="F19" i="2"/>
  <c r="E19" i="2"/>
  <c r="D19" i="2"/>
  <c r="B19" i="2"/>
  <c r="F18" i="2"/>
  <c r="E18" i="2"/>
  <c r="D18" i="2"/>
  <c r="I10" i="2"/>
  <c r="I13" i="2"/>
  <c r="I12" i="2"/>
  <c r="I11" i="2"/>
  <c r="I9" i="2"/>
  <c r="I8" i="2"/>
  <c r="I7" i="2"/>
  <c r="I6" i="2"/>
  <c r="B20" i="1"/>
  <c r="B21" i="1"/>
  <c r="B16" i="1"/>
  <c r="B29" i="1" s="1"/>
  <c r="B15" i="1"/>
  <c r="B27" i="1" s="1"/>
  <c r="B42" i="1" l="1"/>
  <c r="B28" i="1"/>
  <c r="B30" i="1" s="1"/>
  <c r="B22" i="1"/>
  <c r="B47" i="1" s="1"/>
  <c r="B19" i="1"/>
  <c r="B33" i="1" l="1"/>
  <c r="B37" i="1" s="1"/>
  <c r="B46" i="1"/>
  <c r="B36" i="1" l="1"/>
  <c r="B48" i="1" s="1"/>
  <c r="B41" i="1" l="1"/>
  <c r="B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hadd</author>
  </authors>
  <commentList>
    <comment ref="B28" authorId="0" shapeId="0" xr:uid="{7A4A2C65-2BC6-489E-936E-88038BF45950}">
      <text>
        <r>
          <rPr>
            <b/>
            <sz val="11"/>
            <color indexed="81"/>
            <rFont val="Tahoma"/>
            <family val="2"/>
          </rPr>
          <t>chris hadd:</t>
        </r>
        <r>
          <rPr>
            <sz val="11"/>
            <color indexed="81"/>
            <rFont val="Tahoma"/>
            <family val="2"/>
          </rPr>
          <t xml:space="preserve">
Source: Complete Prep UK, https://completeprep.co.uk/prices/</t>
        </r>
      </text>
    </comment>
    <comment ref="B29" authorId="0" shapeId="0" xr:uid="{065B772C-5E35-4E3C-901B-56140BBC96E7}">
      <text>
        <r>
          <rPr>
            <b/>
            <sz val="11"/>
            <color indexed="81"/>
            <rFont val="Tahoma"/>
            <family val="2"/>
          </rPr>
          <t>chris hadd:</t>
        </r>
        <r>
          <rPr>
            <sz val="11"/>
            <color indexed="81"/>
            <rFont val="Tahoma"/>
            <family val="2"/>
          </rPr>
          <t xml:space="preserve">
Source: Complete Prep UK, https://completeprep.co.uk/prices/</t>
        </r>
      </text>
    </comment>
    <comment ref="B30" authorId="0" shapeId="0" xr:uid="{E422B002-9D2E-40C3-9EF9-D82BCFA0B3A1}">
      <text>
        <r>
          <rPr>
            <b/>
            <sz val="11"/>
            <color indexed="81"/>
            <rFont val="Tahoma"/>
            <family val="2"/>
          </rPr>
          <t>chris hadd:</t>
        </r>
        <r>
          <rPr>
            <sz val="11"/>
            <color indexed="81"/>
            <rFont val="Tahoma"/>
            <family val="2"/>
          </rPr>
          <t xml:space="preserve">
Source: Complete Prep UK, https://completeprep.co.uk/prices/</t>
        </r>
      </text>
    </comment>
    <comment ref="B31" authorId="0" shapeId="0" xr:uid="{467424C9-A670-4169-BF46-65E2FDBA5949}">
      <text>
        <r>
          <rPr>
            <b/>
            <sz val="11"/>
            <color indexed="81"/>
            <rFont val="Tahoma"/>
            <family val="2"/>
          </rPr>
          <t>chris hadd:</t>
        </r>
        <r>
          <rPr>
            <sz val="11"/>
            <color indexed="81"/>
            <rFont val="Tahoma"/>
            <family val="2"/>
          </rPr>
          <t xml:space="preserve">
Source: Complete Prep UK, https://completeprep.co.uk/prices/</t>
        </r>
      </text>
    </comment>
    <comment ref="B32" authorId="0" shapeId="0" xr:uid="{BD5C883D-D815-412F-9F3F-0514749E2390}">
      <text>
        <r>
          <rPr>
            <b/>
            <sz val="11"/>
            <color indexed="81"/>
            <rFont val="Tahoma"/>
            <family val="2"/>
          </rPr>
          <t>chris hadd:</t>
        </r>
        <r>
          <rPr>
            <sz val="11"/>
            <color indexed="81"/>
            <rFont val="Tahoma"/>
            <family val="2"/>
          </rPr>
          <t xml:space="preserve">
Source: Complete Prep UK, https://completeprep.co.uk/prices/</t>
        </r>
      </text>
    </comment>
    <comment ref="B33" authorId="0" shapeId="0" xr:uid="{B84F7C0C-A675-409B-9D62-EF5E48A7E601}">
      <text>
        <r>
          <rPr>
            <b/>
            <sz val="11"/>
            <color indexed="81"/>
            <rFont val="Tahoma"/>
            <family val="2"/>
          </rPr>
          <t>chris hadd:</t>
        </r>
        <r>
          <rPr>
            <sz val="11"/>
            <color indexed="81"/>
            <rFont val="Tahoma"/>
            <family val="2"/>
          </rPr>
          <t xml:space="preserve">
Source: Complete Prep UK, https://completeprep.co.uk/prices/</t>
        </r>
      </text>
    </comment>
    <comment ref="B34" authorId="0" shapeId="0" xr:uid="{D110A0B6-BCDC-442E-AB3E-8B0CD54FAE69}">
      <text>
        <r>
          <rPr>
            <b/>
            <sz val="11"/>
            <color indexed="81"/>
            <rFont val="Tahoma"/>
            <family val="2"/>
          </rPr>
          <t>chris hadd:</t>
        </r>
        <r>
          <rPr>
            <sz val="11"/>
            <color indexed="81"/>
            <rFont val="Tahoma"/>
            <family val="2"/>
          </rPr>
          <t xml:space="preserve">
Source: Complete Prep UK, https://completeprep.co.uk/prices/</t>
        </r>
      </text>
    </comment>
    <comment ref="B35" authorId="0" shapeId="0" xr:uid="{2F281123-BF3A-419A-9C60-D003B86ACF77}">
      <text>
        <r>
          <rPr>
            <b/>
            <sz val="11"/>
            <color indexed="81"/>
            <rFont val="Tahoma"/>
            <family val="2"/>
          </rPr>
          <t>chris hadd:</t>
        </r>
        <r>
          <rPr>
            <sz val="11"/>
            <color indexed="81"/>
            <rFont val="Tahoma"/>
            <family val="2"/>
          </rPr>
          <t xml:space="preserve">
Source: Complete Prep UK, https://completeprep.co.uk/prices/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<sst xmlns="http://schemas.openxmlformats.org/spreadsheetml/2006/main" count="432" uniqueCount="219">
  <si>
    <t>Amazon FBA NETP Cash Flow Calculator</t>
  </si>
  <si>
    <t>VAT-registered NETP (Amazon OMP deemed supplier)</t>
  </si>
  <si>
    <t>Item</t>
  </si>
  <si>
    <t>NETP</t>
  </si>
  <si>
    <t>Notes</t>
  </si>
  <si>
    <t>INPUTS</t>
  </si>
  <si>
    <t>Selling Price (inc VAT)</t>
  </si>
  <si>
    <t>What customer pays Amazon</t>
  </si>
  <si>
    <t>Supplier Price (inc VAT)</t>
  </si>
  <si>
    <t>What you pay supplier</t>
  </si>
  <si>
    <t>FBA Fee (ex VAT)</t>
  </si>
  <si>
    <t>Referral Fee (ex VAT)</t>
  </si>
  <si>
    <t>Prep Cost (ex VAT)</t>
  </si>
  <si>
    <t>Shipping Cost (ex VAT)</t>
  </si>
  <si>
    <t>HELPER CALCULATIONS</t>
  </si>
  <si>
    <t>Selling Price (ex VAT)</t>
  </si>
  <si>
    <t>Revenue portion (VAT excluded)</t>
  </si>
  <si>
    <t>Total Fees (inc VAT)</t>
  </si>
  <si>
    <t>Fees you actually pay Amazon</t>
  </si>
  <si>
    <t>VAT ANALYSIS</t>
  </si>
  <si>
    <t>VAT Amazon keeps (not yours)</t>
  </si>
  <si>
    <t>Amazon handles this as deemed supplier</t>
  </si>
  <si>
    <t>Input VAT (supplier)</t>
  </si>
  <si>
    <t>VAT paid to supplier</t>
  </si>
  <si>
    <t>Input VAT (fees)</t>
  </si>
  <si>
    <t>VAT on Amazon fees</t>
  </si>
  <si>
    <t>Total Input VAT (you can reclaim)</t>
  </si>
  <si>
    <t>HMRC refunds this after 3-6 months</t>
  </si>
  <si>
    <t>CASH FLOW BREAKDOWN</t>
  </si>
  <si>
    <t>IMMEDIATE CASH (Day 1)</t>
  </si>
  <si>
    <t>Amazon pays you (ex-VAT only)</t>
  </si>
  <si>
    <t>Amazon keeps the £1.87 VAT</t>
  </si>
  <si>
    <t>Less: Supplier payment</t>
  </si>
  <si>
    <t>Less: Amazon fees</t>
  </si>
  <si>
    <t>IMMEDIATE CASH POSITION</t>
  </si>
  <si>
    <t>NEGATIVE - you are down cash!</t>
  </si>
  <si>
    <t>DELAYED CASH (3-6 Months Later)</t>
  </si>
  <si>
    <t>VAT refund from HMRC</t>
  </si>
  <si>
    <t>After submitting VAT return</t>
  </si>
  <si>
    <t>TOTAL PROFIT (FINAL)</t>
  </si>
  <si>
    <t>Net Profit per Unit</t>
  </si>
  <si>
    <t>Immediate cash + VAT refund</t>
  </si>
  <si>
    <t>Verification (alternative calc)</t>
  </si>
  <si>
    <t>Should equal Net Profit above</t>
  </si>
  <si>
    <t>KEY METRICS</t>
  </si>
  <si>
    <t>ROI (on invested capital)</t>
  </si>
  <si>
    <t>Return on supplier + prep + ship</t>
  </si>
  <si>
    <t>Profit Margin (on revenue)</t>
  </si>
  <si>
    <t>Profit as % of ex-VAT revenue</t>
  </si>
  <si>
    <t>Breakeven Price (inc VAT)</t>
  </si>
  <si>
    <t>Price to achieve zero profit</t>
  </si>
  <si>
    <t>CASH FLOW TIMING SUMMARY</t>
  </si>
  <si>
    <t>Day 1 (Sale Completes):</t>
  </si>
  <si>
    <t>You are DOWN this amount in cash</t>
  </si>
  <si>
    <t>Working capital tied up:</t>
  </si>
  <si>
    <t>Waiting for HMRC refund</t>
  </si>
  <si>
    <t>After 3-6 months:</t>
  </si>
  <si>
    <t>Final profit (after VAT refund)</t>
  </si>
  <si>
    <t>KEY INSIGHT:</t>
  </si>
  <si>
    <t>Your final profit is the same as UK seller, but your cash flow is much worse!</t>
  </si>
  <si>
    <t>27/01/2025</t>
  </si>
  <si>
    <t>BOX 1</t>
  </si>
  <si>
    <t>Product</t>
  </si>
  <si>
    <t>ASIN</t>
  </si>
  <si>
    <t>FNSKU</t>
  </si>
  <si>
    <t>Pack Qty</t>
  </si>
  <si>
    <t>Bumble and Bumble Thickening Volume Shampoo 250ml</t>
  </si>
  <si>
    <t>B0CV5W7FDC</t>
  </si>
  <si>
    <t>Qogita</t>
  </si>
  <si>
    <t>Order #41DJ3JP</t>
  </si>
  <si>
    <t>24 mths</t>
  </si>
  <si>
    <t>B08FDK2TW1</t>
  </si>
  <si>
    <t>Bumble and Bumble Sumotech 50ml / 2 fl.oz.</t>
  </si>
  <si>
    <t>B000BIUGTQ</t>
  </si>
  <si>
    <t>16/05/2025</t>
  </si>
  <si>
    <t>Swirl Tropical Tumble Dryer Sheets 35 Pack</t>
  </si>
  <si>
    <t>B085W7P4DK</t>
  </si>
  <si>
    <t>Pound Wholesale</t>
  </si>
  <si>
    <t>Granny's Original Soap Flakes 425g</t>
  </si>
  <si>
    <t>B094JMWM5X</t>
  </si>
  <si>
    <t>Units</t>
  </si>
  <si>
    <t>BOX 2</t>
  </si>
  <si>
    <t>BOX 3</t>
  </si>
  <si>
    <t>Prima Non-Stick Heart Shape Cake Pan</t>
  </si>
  <si>
    <t>B01CZWVBF8</t>
  </si>
  <si>
    <t>Hugs &amp; Kisses Mummy's &amp; Daddy's New Bone China Mugs</t>
  </si>
  <si>
    <t>B07CL5KHVJ</t>
  </si>
  <si>
    <t>1 mummy 1 daddy</t>
  </si>
  <si>
    <t>total</t>
  </si>
  <si>
    <t>SHIPMENT &amp; PREP TRACKER</t>
  </si>
  <si>
    <t>Labels: 44 Up labels – 48.5mm x 25.4mm on A4 Paper  |  UPS Pickups: 4pm Mon–Fri</t>
  </si>
  <si>
    <t>Ship Date</t>
  </si>
  <si>
    <t>Supplier</t>
  </si>
  <si>
    <t>Prep Cost (£)</t>
  </si>
  <si>
    <t>17/08/2025</t>
  </si>
  <si>
    <t>Bubble</t>
  </si>
  <si>
    <t>15/09/2025</t>
  </si>
  <si>
    <t>Order #1000078936</t>
  </si>
  <si>
    <t>PRODUCT DETAIL</t>
  </si>
  <si>
    <t>FNSKU / Source</t>
  </si>
  <si>
    <t>Expiry</t>
  </si>
  <si>
    <t>Prep Type</t>
  </si>
  <si>
    <t>Est. Prep Cost (£)</t>
  </si>
  <si>
    <t>Single item</t>
  </si>
  <si>
    <t>Bumble and Bumble Curl Moisturising Shampoo 250ml</t>
  </si>
  <si>
    <t>Pack of 4</t>
  </si>
  <si>
    <t>Pack of 2</t>
  </si>
  <si>
    <t>Box Cost (£)</t>
  </si>
  <si>
    <t>COMPLETE PREP – PRICE LIST</t>
  </si>
  <si>
    <t>Service</t>
  </si>
  <si>
    <t>Price</t>
  </si>
  <si>
    <t>Single item prepped (incl. label &amp; polybag)</t>
  </si>
  <si>
    <t>£0.40</t>
  </si>
  <si>
    <t>Bundled identical items</t>
  </si>
  <si>
    <t>£0.45</t>
  </si>
  <si>
    <t>Mixed product bundles</t>
  </si>
  <si>
    <t>£0.50</t>
  </si>
  <si>
    <t>Fragile goods bubble wrapping (extra)</t>
  </si>
  <si>
    <t>£0.25</t>
  </si>
  <si>
    <t>FBM / eBay / TikTok / D2C Prep &amp; Storage (incl. small box)</t>
  </si>
  <si>
    <t>Used Book Prep (receipt, inspect, clean, grade, polybag, build shipment)</t>
  </si>
  <si>
    <t>£1.00</t>
  </si>
  <si>
    <t>Large double-wall shipping box</t>
  </si>
  <si>
    <t>£3.00</t>
  </si>
  <si>
    <t>Extra large shipping box (exceeding 60x50x40cm)</t>
  </si>
  <si>
    <t>£5.00</t>
  </si>
  <si>
    <t>No joining, monthly, or admin fees</t>
  </si>
  <si>
    <t>FREE</t>
  </si>
  <si>
    <t>Palletising of goods for shipment</t>
  </si>
  <si>
    <t>Storage of goods (max 2 pallets, time limits apply)</t>
  </si>
  <si>
    <t>Amazon returns inspection/receiving (if returning to FBA)</t>
  </si>
  <si>
    <t>Shipping charged directly on Seller Central account</t>
  </si>
  <si>
    <t>N/A</t>
  </si>
  <si>
    <t>Bundled identical</t>
  </si>
  <si>
    <t>Bundled identical + fragile</t>
  </si>
  <si>
    <t>3 large boxes</t>
  </si>
  <si>
    <t>1 large box</t>
  </si>
  <si>
    <t>Date Ordered</t>
  </si>
  <si>
    <t>Product Name</t>
  </si>
  <si>
    <t>EAN</t>
  </si>
  <si>
    <t>Order Number</t>
  </si>
  <si>
    <t>Individual Qty Expected</t>
  </si>
  <si>
    <t>Bundle? (Y/N)</t>
  </si>
  <si>
    <t>Expected Delivery Date</t>
  </si>
  <si>
    <t>Warehouse Comments</t>
  </si>
  <si>
    <t>Qty Out</t>
  </si>
  <si>
    <t>N</t>
  </si>
  <si>
    <t>20/01/2025</t>
  </si>
  <si>
    <t>23/01/2025</t>
  </si>
  <si>
    <t>Y</t>
  </si>
  <si>
    <t>24/04/2025</t>
  </si>
  <si>
    <t>13/05/2025</t>
  </si>
  <si>
    <t>plus x4</t>
  </si>
  <si>
    <t>30/09/2025</t>
  </si>
  <si>
    <t>see paperwork</t>
  </si>
  <si>
    <t>40 bundles sent 10/11</t>
  </si>
  <si>
    <t>come as individual mugs.</t>
  </si>
  <si>
    <t>SUPERIOR FOIL 10 CONTAINERS &amp; LID 10X12</t>
  </si>
  <si>
    <t>B08L66NXB5</t>
  </si>
  <si>
    <t>Efghouseware</t>
  </si>
  <si>
    <t>SO21092</t>
  </si>
  <si>
    <t>SUPERIOR FOIL 10 CONTAINERS &amp; LID 9X9IN</t>
  </si>
  <si>
    <t>B0DJDH23JW</t>
  </si>
  <si>
    <t>SUPERIOR FOIL 10 HALF SIZE TRAY 9X13 INCH</t>
  </si>
  <si>
    <t>B074ZH6DXK</t>
  </si>
  <si>
    <t>SUPERIOR FOIL 5 CONTAINERS &amp; LID 9X13IN</t>
  </si>
  <si>
    <t>B07GZGXQYG</t>
  </si>
  <si>
    <t>INBOUND RECEIVING LOG</t>
  </si>
  <si>
    <t>Qty in Bundle</t>
  </si>
  <si>
    <t>Qty Received (Individuals)</t>
  </si>
  <si>
    <t>Customer Notes</t>
  </si>
  <si>
    <t>Shipment Date</t>
  </si>
  <si>
    <t>Prep Price Category</t>
  </si>
  <si>
    <t>Special Instructions</t>
  </si>
  <si>
    <t>17/02/2025</t>
  </si>
  <si>
    <t>Order #1000071455</t>
  </si>
  <si>
    <t>25/07/2025</t>
  </si>
  <si>
    <t>please ensure product condition as they are made of foil, also refer to message on slack for clarification</t>
  </si>
  <si>
    <t>SHIPMENT COST SUMMARY</t>
  </si>
  <si>
    <t>Total ex VAT (£)</t>
  </si>
  <si>
    <t>VAT @ 20% (£)</t>
  </si>
  <si>
    <t>Total inc VAT (£)</t>
  </si>
  <si>
    <t>NO CHARGE - Test shipment</t>
  </si>
  <si>
    <t>1 extra large box (60x50x40)</t>
  </si>
  <si>
    <t>TOTAL</t>
  </si>
  <si>
    <t>ESTIMATED COSTS – PENDING ITEMS (Not Yet Received)</t>
  </si>
  <si>
    <t>Qty Expected</t>
  </si>
  <si>
    <t>Check condition – foil products, see Slack</t>
  </si>
  <si>
    <t>ESTIMATED TOTAL</t>
  </si>
  <si>
    <t>ex VAT</t>
  </si>
  <si>
    <t>inc VAT</t>
  </si>
  <si>
    <t>BOX 4</t>
  </si>
  <si>
    <t>BOX 5</t>
  </si>
  <si>
    <t>BOX 6</t>
  </si>
  <si>
    <t>BOX 7</t>
  </si>
  <si>
    <t>Pack group number</t>
  </si>
  <si>
    <t>SKU</t>
  </si>
  <si>
    <t>Title</t>
  </si>
  <si>
    <t>Quantity</t>
  </si>
  <si>
    <t>50x41x61</t>
  </si>
  <si>
    <t>40x30x16</t>
  </si>
  <si>
    <t>9W-RCE3-9YWI</t>
  </si>
  <si>
    <t>Superior Large Foil Aluminium Trays Pack of 10 – Heavy-Duty Deep Tin Foil Trays 32 x 26 cm Ideal for Cooking Baking Roasting BBQ Meal Prep Storage Tray – Foil Containers for Christmas Parties</t>
  </si>
  <si>
    <t>10x12</t>
  </si>
  <si>
    <t>X002IEOACD</t>
  </si>
  <si>
    <t>SKU021</t>
  </si>
  <si>
    <t>Superior 10-Pack Aluminium Foil Trays with Paper Lids, Heavy Duty Aluminium Takeaway Containers, Freezer &amp; Oven Safe Tin Foil Trays For Baking, Cooking, Broiling, Storage Containers, 9 x 9 inch</t>
  </si>
  <si>
    <t>9x9</t>
  </si>
  <si>
    <t>X002IEPHSJ</t>
  </si>
  <si>
    <t>SKU019</t>
  </si>
  <si>
    <t>Superior Foil Containers with Lids – 9x13 Inches Sturdy Deep Foil Trays with Lid, Ideal for Cooking, Baking,Roasting, BBQ, Meal Prep Storage Tray – Large Foil Trays with Lids (5 Pack)</t>
  </si>
  <si>
    <t>9x13</t>
  </si>
  <si>
    <t>X002IEOPOL</t>
  </si>
  <si>
    <t>SKU022</t>
  </si>
  <si>
    <t>Superior Large Foil Containers with Lids Pack of 10 –Sturdy Durable Spacious Foil Trays with Lids - Aluminium Containers 10 x 12 Inch Leak Proof Trays for Cooking Baking BBQ Meal Prep Storage</t>
  </si>
  <si>
    <t>X002IES8JJ</t>
  </si>
  <si>
    <t>202 units</t>
  </si>
  <si>
    <t>10 L Cartons</t>
  </si>
  <si>
    <t>2 M cartons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</si>
</sst>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£#,##0.00"/>
    <numFmt numFmtId="169" formatCode="dd/mm/yyyy"/>
    <numFmt numFmtId="170" formatCode="0.0"/>
  </numFmts>
  <fonts count="36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1"/>
      <color rgb="FFFFFFFF"/>
      <name val="Calibri"/>
    </font>
    <font>
      <b/>
      <i/>
      <sz val="9"/>
      <name val="Calibri"/>
    </font>
    <font>
      <b/>
      <sz val="11"/>
      <name val="Calibri"/>
    </font>
    <font>
      <b/>
      <sz val="11"/>
      <color rgb="FF0000FF"/>
      <name val="Calibri"/>
    </font>
    <font>
      <i/>
      <sz val="9"/>
      <name val="Calibri"/>
    </font>
    <font>
      <i/>
      <sz val="9"/>
      <color rgb="FFFF0000"/>
      <name val="Calibri"/>
    </font>
    <font>
      <i/>
      <sz val="9"/>
      <color rgb="FF008000"/>
      <name val="Calibri"/>
    </font>
    <font>
      <b/>
      <sz val="12"/>
      <name val="Calibri"/>
    </font>
    <font>
      <b/>
      <sz val="11"/>
      <name val="Calibri"/>
    </font>
    <font>
      <b/>
      <sz val="11"/>
      <color rgb="FFFF0000"/>
      <name val="Calibri"/>
    </font>
    <font>
      <b/>
      <sz val="11"/>
      <color rgb="FF008000"/>
      <name val="Calibri"/>
    </font>
    <font>
      <b/>
      <sz val="10"/>
      <color rgb="FFFF0000"/>
      <name val="Calibri"/>
    </font>
    <font>
      <i/>
      <sz val="10"/>
      <color rgb="FFFF0000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b/>
      <sz val="12"/>
      <color theme="1"/>
      <name val="Arial"/>
      <family val="2"/>
    </font>
    <font>
      <b/>
      <sz val="16"/>
      <color rgb="FFFFFFFF"/>
      <name val="Calibri"/>
      <family val="2"/>
      <scheme val="minor"/>
    </font>
    <font>
      <i/>
      <sz val="9"/>
      <color rgb="FF4472C4"/>
      <name val="Calibri"/>
      <family val="2"/>
      <scheme val="minor"/>
    </font>
    <font>
      <b/>
      <sz val="13"/>
      <color rgb="FF2F5496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b/>
      <sz val="10"/>
      <color rgb="FF008000"/>
      <name val="Calibri"/>
      <family val="2"/>
      <scheme val="minor"/>
    </font>
    <font>
      <b/>
      <sz val="10"/>
      <color rgb="FF008000"/>
      <name val="Calibri"/>
      <family val="2"/>
    </font>
    <font>
      <b/>
      <sz val="10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6F2FF"/>
      </patternFill>
    </fill>
    <fill>
      <patternFill patternType="solid">
        <fgColor rgb="FFFFF2CC"/>
      </patternFill>
    </fill>
    <fill>
      <patternFill patternType="solid">
        <fgColor rgb="FFD3D3D3"/>
      </patternFill>
    </fill>
    <fill>
      <patternFill patternType="solid">
        <fgColor rgb="FFFFD966"/>
      </patternFill>
    </fill>
    <fill>
      <patternFill patternType="solid">
        <fgColor rgb="FFFFC7CE"/>
      </patternFill>
    </fill>
    <fill>
      <patternFill patternType="solid">
        <fgColor rgb="FFC6E0B4"/>
      </patternFill>
    </fill>
    <fill>
      <patternFill patternType="solid">
        <fgColor rgb="FFFFEB9C"/>
      </patternFill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FEFE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3" borderId="0" xfId="0" applyFont="1" applyFill="1"/>
    <xf numFmtId="164" fontId="6" fillId="0" borderId="0" xfId="0" applyNumberFormat="1" applyFont="1"/>
    <xf numFmtId="0" fontId="7" fillId="0" borderId="0" xfId="0" applyFont="1"/>
    <xf numFmtId="0" fontId="5" fillId="4" borderId="0" xfId="0" applyFont="1" applyFill="1"/>
    <xf numFmtId="164" fontId="0" fillId="0" borderId="0" xfId="0" applyNumberFormat="1"/>
    <xf numFmtId="0" fontId="8" fillId="0" borderId="0" xfId="0" applyFont="1"/>
    <xf numFmtId="0" fontId="9" fillId="0" borderId="0" xfId="0" applyFont="1"/>
    <xf numFmtId="0" fontId="5" fillId="6" borderId="0" xfId="0" applyFont="1" applyFill="1"/>
    <xf numFmtId="0" fontId="0" fillId="0" borderId="1" xfId="0" applyBorder="1"/>
    <xf numFmtId="164" fontId="11" fillId="7" borderId="1" xfId="0" applyNumberFormat="1" applyFont="1" applyFill="1" applyBorder="1"/>
    <xf numFmtId="0" fontId="5" fillId="8" borderId="0" xfId="0" applyFont="1" applyFill="1"/>
    <xf numFmtId="0" fontId="10" fillId="9" borderId="0" xfId="0" applyFont="1" applyFill="1"/>
    <xf numFmtId="164" fontId="10" fillId="9" borderId="2" xfId="0" applyNumberFormat="1" applyFont="1" applyFill="1" applyBorder="1"/>
    <xf numFmtId="164" fontId="7" fillId="0" borderId="0" xfId="0" applyNumberFormat="1" applyFont="1"/>
    <xf numFmtId="0" fontId="5" fillId="9" borderId="0" xfId="0" applyFont="1" applyFill="1"/>
    <xf numFmtId="10" fontId="0" fillId="0" borderId="0" xfId="0" applyNumberFormat="1"/>
    <xf numFmtId="164" fontId="12" fillId="0" borderId="0" xfId="0" applyNumberFormat="1" applyFont="1"/>
    <xf numFmtId="164" fontId="13" fillId="0" borderId="0" xfId="0" applyNumberFormat="1" applyFont="1"/>
    <xf numFmtId="0" fontId="14" fillId="0" borderId="0" xfId="0" applyFont="1"/>
    <xf numFmtId="0" fontId="10" fillId="5" borderId="0" xfId="0" applyFont="1" applyFill="1" applyAlignment="1">
      <alignment horizontal="center"/>
    </xf>
    <xf numFmtId="0" fontId="0" fillId="0" borderId="0" xfId="0"/>
    <xf numFmtId="0" fontId="1" fillId="0" borderId="0" xfId="0" applyFont="1"/>
    <xf numFmtId="0" fontId="15" fillId="0" borderId="0" xfId="0" applyFont="1"/>
    <xf numFmtId="0" fontId="2" fillId="0" borderId="0" xfId="0" applyFont="1"/>
    <xf numFmtId="0" fontId="17" fillId="10" borderId="3" xfId="0" applyFont="1" applyFill="1" applyBorder="1" applyAlignment="1">
      <alignment wrapText="1"/>
    </xf>
    <xf numFmtId="0" fontId="19" fillId="10" borderId="3" xfId="0" applyFont="1" applyFill="1" applyBorder="1" applyAlignment="1">
      <alignment horizontal="center" wrapText="1"/>
    </xf>
    <xf numFmtId="0" fontId="17" fillId="0" borderId="3" xfId="0" applyFont="1" applyBorder="1" applyAlignment="1">
      <alignment wrapText="1"/>
    </xf>
    <xf numFmtId="0" fontId="17" fillId="12" borderId="3" xfId="0" applyFont="1" applyFill="1" applyBorder="1" applyAlignment="1">
      <alignment wrapText="1"/>
    </xf>
    <xf numFmtId="0" fontId="19" fillId="12" borderId="3" xfId="0" applyFont="1" applyFill="1" applyBorder="1" applyAlignment="1">
      <alignment horizontal="center" wrapText="1"/>
    </xf>
    <xf numFmtId="0" fontId="19" fillId="11" borderId="3" xfId="0" applyFont="1" applyFill="1" applyBorder="1" applyAlignment="1">
      <alignment wrapText="1"/>
    </xf>
    <xf numFmtId="0" fontId="20" fillId="13" borderId="0" xfId="0" applyFont="1" applyFill="1" applyAlignment="1">
      <alignment horizontal="center"/>
    </xf>
    <xf numFmtId="0" fontId="0" fillId="13" borderId="0" xfId="0" applyFill="1"/>
    <xf numFmtId="0" fontId="21" fillId="0" borderId="0" xfId="0" applyFont="1"/>
    <xf numFmtId="0" fontId="22" fillId="14" borderId="0" xfId="0" applyFont="1" applyFill="1"/>
    <xf numFmtId="0" fontId="0" fillId="14" borderId="0" xfId="0" applyFill="1"/>
    <xf numFmtId="0" fontId="23" fillId="15" borderId="0" xfId="0" applyFont="1" applyFill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169" fontId="24" fillId="0" borderId="0" xfId="0" applyNumberFormat="1" applyFont="1" applyAlignment="1">
      <alignment horizontal="center"/>
    </xf>
    <xf numFmtId="170" fontId="24" fillId="0" borderId="0" xfId="0" applyNumberFormat="1" applyFont="1" applyAlignment="1">
      <alignment horizontal="center"/>
    </xf>
    <xf numFmtId="164" fontId="24" fillId="0" borderId="0" xfId="0" applyNumberFormat="1" applyFont="1" applyAlignment="1">
      <alignment horizontal="center"/>
    </xf>
    <xf numFmtId="0" fontId="25" fillId="0" borderId="0" xfId="0" applyFont="1"/>
    <xf numFmtId="169" fontId="22" fillId="14" borderId="0" xfId="0" applyNumberFormat="1" applyFont="1" applyFill="1" applyAlignment="1">
      <alignment horizontal="center"/>
    </xf>
    <xf numFmtId="0" fontId="0" fillId="15" borderId="0" xfId="0" applyFill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/>
    </xf>
    <xf numFmtId="0" fontId="30" fillId="10" borderId="4" xfId="0" applyFont="1" applyFill="1" applyBorder="1" applyAlignment="1">
      <alignment wrapText="1"/>
    </xf>
    <xf numFmtId="0" fontId="30" fillId="10" borderId="5" xfId="0" applyFont="1" applyFill="1" applyBorder="1" applyAlignment="1">
      <alignment horizontal="center" wrapText="1"/>
    </xf>
    <xf numFmtId="169" fontId="24" fillId="16" borderId="0" xfId="0" applyNumberFormat="1" applyFont="1" applyFill="1" applyAlignment="1">
      <alignment horizontal="center"/>
    </xf>
    <xf numFmtId="0" fontId="24" fillId="16" borderId="0" xfId="0" applyFont="1" applyFill="1" applyAlignment="1">
      <alignment horizontal="center"/>
    </xf>
    <xf numFmtId="164" fontId="24" fillId="16" borderId="0" xfId="0" applyNumberFormat="1" applyFont="1" applyFill="1" applyAlignment="1">
      <alignment horizontal="center"/>
    </xf>
    <xf numFmtId="0" fontId="24" fillId="16" borderId="0" xfId="0" applyFont="1" applyFill="1"/>
    <xf numFmtId="0" fontId="26" fillId="16" borderId="0" xfId="0" applyFont="1" applyFill="1" applyAlignment="1">
      <alignment horizontal="center"/>
    </xf>
    <xf numFmtId="164" fontId="26" fillId="0" borderId="0" xfId="0" applyNumberFormat="1" applyFont="1" applyAlignment="1">
      <alignment horizontal="center"/>
    </xf>
    <xf numFmtId="164" fontId="26" fillId="16" borderId="0" xfId="0" applyNumberFormat="1" applyFont="1" applyFill="1" applyAlignment="1">
      <alignment horizontal="center"/>
    </xf>
    <xf numFmtId="0" fontId="31" fillId="16" borderId="0" xfId="0" applyFont="1" applyFill="1"/>
    <xf numFmtId="49" fontId="24" fillId="16" borderId="0" xfId="0" applyNumberFormat="1" applyFont="1" applyFill="1" applyAlignment="1">
      <alignment horizontal="center"/>
    </xf>
    <xf numFmtId="0" fontId="25" fillId="16" borderId="0" xfId="0" applyFont="1" applyFill="1"/>
    <xf numFmtId="49" fontId="24" fillId="0" borderId="0" xfId="0" applyNumberFormat="1" applyFont="1" applyAlignment="1">
      <alignment horizontal="center"/>
    </xf>
    <xf numFmtId="164" fontId="25" fillId="16" borderId="0" xfId="0" applyNumberFormat="1" applyFont="1" applyFill="1" applyAlignment="1">
      <alignment horizontal="center"/>
    </xf>
    <xf numFmtId="169" fontId="16" fillId="17" borderId="0" xfId="0" applyNumberFormat="1" applyFont="1" applyFill="1" applyAlignment="1">
      <alignment horizontal="center"/>
    </xf>
    <xf numFmtId="0" fontId="16" fillId="17" borderId="0" xfId="0" applyFont="1" applyFill="1" applyAlignment="1">
      <alignment horizontal="center"/>
    </xf>
    <xf numFmtId="164" fontId="16" fillId="17" borderId="0" xfId="0" applyNumberFormat="1" applyFont="1" applyFill="1" applyAlignment="1">
      <alignment horizontal="center"/>
    </xf>
    <xf numFmtId="0" fontId="24" fillId="17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0" fillId="17" borderId="0" xfId="0" applyFill="1"/>
    <xf numFmtId="0" fontId="26" fillId="17" borderId="0" xfId="0" applyFont="1" applyFill="1" applyAlignment="1">
      <alignment horizontal="center"/>
    </xf>
    <xf numFmtId="0" fontId="33" fillId="17" borderId="0" xfId="0" applyFont="1" applyFill="1"/>
    <xf numFmtId="0" fontId="18" fillId="0" borderId="3" xfId="0" applyFont="1" applyBorder="1" applyAlignment="1">
      <alignment wrapText="1"/>
    </xf>
    <xf numFmtId="0" fontId="18" fillId="0" borderId="3" xfId="0" applyFont="1" applyBorder="1" applyAlignment="1">
      <alignment horizontal="right" wrapText="1"/>
    </xf>
    <xf numFmtId="0" fontId="18" fillId="12" borderId="3" xfId="0" applyFont="1" applyFill="1" applyBorder="1" applyAlignment="1">
      <alignment wrapText="1"/>
    </xf>
    <xf numFmtId="0" fontId="35" fillId="12" borderId="3" xfId="0" applyFont="1" applyFill="1" applyBorder="1" applyAlignment="1">
      <alignment wrapText="1"/>
    </xf>
    <xf numFmtId="0" fontId="18" fillId="12" borderId="3" xfId="0" applyFont="1" applyFill="1" applyBorder="1" applyAlignment="1">
      <alignment horizontal="right" wrapText="1"/>
    </xf>
    <xf numFmtId="0" fontId="35" fillId="0" borderId="3" xfId="0" applyFont="1" applyBorder="1" applyAlignment="1">
      <alignment horizontal="right" wrapText="1"/>
    </xf>
    <xf numFmtId="0" fontId="19" fillId="0" borderId="3" xfId="0" applyFont="1" applyBorder="1" applyAlignment="1">
      <alignment horizontal="center" wrapText="1"/>
    </xf>
    <xf numFmtId="0" fontId="17" fillId="12" borderId="3" xfId="0" applyFont="1" applyFill="1" applyBorder="1" applyAlignment="1">
      <alignment horizontal="right" wrapText="1"/>
    </xf>
    <xf numFmtId="0" fontId="17" fillId="12" borderId="6" xfId="0" applyFont="1" applyFill="1" applyBorder="1" applyAlignment="1">
      <alignment horizontal="right" wrapText="1"/>
    </xf>
    <xf numFmtId="0" fontId="17" fillId="0" borderId="7" xfId="0" applyFont="1" applyBorder="1" applyAlignment="1">
      <alignment wrapText="1"/>
    </xf>
    <xf numFmtId="0" fontId="17" fillId="0" borderId="8" xfId="0" applyFont="1" applyBorder="1" applyAlignment="1">
      <alignment wrapText="1"/>
    </xf>
    <xf numFmtId="0" fontId="17" fillId="18" borderId="3" xfId="0" applyFont="1" applyFill="1" applyBorder="1" applyAlignment="1">
      <alignment wrapText="1"/>
    </xf>
    <xf numFmtId="0" fontId="19" fillId="11" borderId="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2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7DBC4D-E53E-4AD0-B123-1A2D023BA84F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opLeftCell="A9" workbookViewId="0">
      <selection activeCell="B11" sqref="B11"/>
    </sheetView>
  </sheetViews>
  <sheetFormatPr defaultRowHeight="15" x14ac:dyDescent="0.25"/>
  <cols>
    <col min="1" max="1" width="35" customWidth="1"/>
    <col min="2" max="2" width="18" customWidth="1"/>
    <col min="3" max="3" width="35" customWidth="1"/>
  </cols>
  <sheetData>
    <row r="1" spans="1:3" ht="18.75" x14ac:dyDescent="0.3">
      <c r="A1" s="24" t="s">
        <v>0</v>
      </c>
      <c r="B1" s="23"/>
      <c r="C1" s="23"/>
    </row>
    <row r="2" spans="1:3" x14ac:dyDescent="0.25">
      <c r="A2" s="26" t="s">
        <v>1</v>
      </c>
      <c r="B2" s="23"/>
      <c r="C2" s="23"/>
    </row>
    <row r="4" spans="1:3" x14ac:dyDescent="0.25">
      <c r="A4" s="1" t="s">
        <v>2</v>
      </c>
      <c r="B4" s="1" t="s">
        <v>3</v>
      </c>
      <c r="C4" s="2" t="s">
        <v>4</v>
      </c>
    </row>
    <row r="6" spans="1:3" x14ac:dyDescent="0.25">
      <c r="A6" s="3" t="s">
        <v>5</v>
      </c>
    </row>
    <row r="7" spans="1:3" x14ac:dyDescent="0.25">
      <c r="A7" t="s">
        <v>6</v>
      </c>
      <c r="B7" s="4">
        <v>14.97</v>
      </c>
      <c r="C7" s="5" t="s">
        <v>7</v>
      </c>
    </row>
    <row r="8" spans="1:3" x14ac:dyDescent="0.25">
      <c r="A8" t="s">
        <v>8</v>
      </c>
      <c r="B8" s="4">
        <v>1.7</v>
      </c>
      <c r="C8" s="5" t="s">
        <v>9</v>
      </c>
    </row>
    <row r="9" spans="1:3" x14ac:dyDescent="0.25">
      <c r="A9" t="s">
        <v>10</v>
      </c>
      <c r="B9" s="4">
        <v>3.26</v>
      </c>
    </row>
    <row r="10" spans="1:3" x14ac:dyDescent="0.25">
      <c r="A10" t="s">
        <v>11</v>
      </c>
      <c r="B10" s="4">
        <v>2.25</v>
      </c>
    </row>
    <row r="11" spans="1:3" x14ac:dyDescent="0.25">
      <c r="A11" t="s">
        <v>12</v>
      </c>
      <c r="B11" s="4">
        <v>0.65</v>
      </c>
    </row>
    <row r="12" spans="1:3" x14ac:dyDescent="0.25">
      <c r="A12" t="s">
        <v>13</v>
      </c>
      <c r="B12" s="4">
        <v>0</v>
      </c>
    </row>
    <row r="14" spans="1:3" x14ac:dyDescent="0.25">
      <c r="A14" s="6" t="s">
        <v>14</v>
      </c>
    </row>
    <row r="15" spans="1:3" x14ac:dyDescent="0.25">
      <c r="A15" t="s">
        <v>15</v>
      </c>
      <c r="B15" s="7">
        <f>B7/1.2</f>
        <v>12.475000000000001</v>
      </c>
      <c r="C15" s="5" t="s">
        <v>16</v>
      </c>
    </row>
    <row r="16" spans="1:3" x14ac:dyDescent="0.25">
      <c r="A16" t="s">
        <v>17</v>
      </c>
      <c r="B16" s="7">
        <f>(B9+B10+B11+B12)*1.2</f>
        <v>7.3919999999999995</v>
      </c>
      <c r="C16" s="5" t="s">
        <v>18</v>
      </c>
    </row>
    <row r="18" spans="1:3" x14ac:dyDescent="0.25">
      <c r="A18" s="6" t="s">
        <v>19</v>
      </c>
    </row>
    <row r="19" spans="1:3" x14ac:dyDescent="0.25">
      <c r="A19" t="s">
        <v>20</v>
      </c>
      <c r="B19" s="7">
        <f>B7-B15</f>
        <v>2.4949999999999992</v>
      </c>
      <c r="C19" s="8" t="s">
        <v>21</v>
      </c>
    </row>
    <row r="20" spans="1:3" x14ac:dyDescent="0.25">
      <c r="A20" t="s">
        <v>22</v>
      </c>
      <c r="B20" s="7">
        <f>B8-B8/1.2</f>
        <v>0.28333333333333321</v>
      </c>
      <c r="C20" s="5" t="s">
        <v>23</v>
      </c>
    </row>
    <row r="21" spans="1:3" x14ac:dyDescent="0.25">
      <c r="A21" t="s">
        <v>24</v>
      </c>
      <c r="B21" s="7">
        <f>(B9+B10+B11+B12)*0.2</f>
        <v>1.2320000000000002</v>
      </c>
      <c r="C21" s="5" t="s">
        <v>25</v>
      </c>
    </row>
    <row r="22" spans="1:3" x14ac:dyDescent="0.25">
      <c r="A22" t="s">
        <v>26</v>
      </c>
      <c r="B22" s="7">
        <f>B20+B21</f>
        <v>1.5153333333333334</v>
      </c>
      <c r="C22" s="9" t="s">
        <v>27</v>
      </c>
    </row>
    <row r="24" spans="1:3" ht="15.75" x14ac:dyDescent="0.25">
      <c r="A24" s="22" t="s">
        <v>28</v>
      </c>
      <c r="B24" s="23"/>
      <c r="C24" s="23"/>
    </row>
    <row r="26" spans="1:3" x14ac:dyDescent="0.25">
      <c r="A26" s="10" t="s">
        <v>29</v>
      </c>
    </row>
    <row r="27" spans="1:3" x14ac:dyDescent="0.25">
      <c r="A27" t="s">
        <v>30</v>
      </c>
      <c r="B27" s="7">
        <f>B15</f>
        <v>12.475000000000001</v>
      </c>
      <c r="C27" s="8" t="s">
        <v>31</v>
      </c>
    </row>
    <row r="28" spans="1:3" x14ac:dyDescent="0.25">
      <c r="A28" t="s">
        <v>32</v>
      </c>
      <c r="B28" s="7">
        <f>-B8</f>
        <v>-1.7</v>
      </c>
    </row>
    <row r="29" spans="1:3" x14ac:dyDescent="0.25">
      <c r="A29" t="s">
        <v>33</v>
      </c>
      <c r="B29" s="7">
        <f>-B16</f>
        <v>-7.3919999999999995</v>
      </c>
    </row>
    <row r="30" spans="1:3" x14ac:dyDescent="0.25">
      <c r="A30" s="11" t="s">
        <v>34</v>
      </c>
      <c r="B30" s="12">
        <f>B27+B28+B29</f>
        <v>3.3830000000000027</v>
      </c>
      <c r="C30" s="8" t="s">
        <v>35</v>
      </c>
    </row>
    <row r="32" spans="1:3" x14ac:dyDescent="0.25">
      <c r="A32" s="13" t="s">
        <v>36</v>
      </c>
    </row>
    <row r="33" spans="1:3" x14ac:dyDescent="0.25">
      <c r="A33" t="s">
        <v>37</v>
      </c>
      <c r="B33" s="7">
        <f>B22</f>
        <v>1.5153333333333334</v>
      </c>
      <c r="C33" s="9" t="s">
        <v>38</v>
      </c>
    </row>
    <row r="35" spans="1:3" ht="15.75" x14ac:dyDescent="0.25">
      <c r="A35" s="14" t="s">
        <v>39</v>
      </c>
    </row>
    <row r="36" spans="1:3" ht="15.75" x14ac:dyDescent="0.25">
      <c r="A36" t="s">
        <v>40</v>
      </c>
      <c r="B36" s="15">
        <f>B30+B33</f>
        <v>4.8983333333333361</v>
      </c>
      <c r="C36" s="5" t="s">
        <v>41</v>
      </c>
    </row>
    <row r="37" spans="1:3" x14ac:dyDescent="0.25">
      <c r="A37" t="s">
        <v>42</v>
      </c>
      <c r="B37" s="16">
        <f>B27+B33+B28+B29</f>
        <v>4.898333333333337</v>
      </c>
      <c r="C37" s="5" t="s">
        <v>43</v>
      </c>
    </row>
    <row r="39" spans="1:3" x14ac:dyDescent="0.25">
      <c r="A39" s="17" t="s">
        <v>44</v>
      </c>
    </row>
    <row r="40" spans="1:3" x14ac:dyDescent="0.25">
      <c r="A40" t="s">
        <v>45</v>
      </c>
      <c r="B40" s="18">
        <f>B36/(B8/1.2+B11+B12)</f>
        <v>2.3701612903225819</v>
      </c>
      <c r="C40" s="5" t="s">
        <v>46</v>
      </c>
    </row>
    <row r="41" spans="1:3" x14ac:dyDescent="0.25">
      <c r="A41" t="s">
        <v>47</v>
      </c>
      <c r="B41" s="18">
        <f>B36/B15</f>
        <v>0.39265197060788259</v>
      </c>
      <c r="C41" s="5" t="s">
        <v>48</v>
      </c>
    </row>
    <row r="42" spans="1:3" x14ac:dyDescent="0.25">
      <c r="A42" t="s">
        <v>49</v>
      </c>
      <c r="B42" s="7">
        <f>((B8/1.2)+(B9+B10+B11+B12))*1.2</f>
        <v>9.0920000000000005</v>
      </c>
      <c r="C42" s="5" t="s">
        <v>50</v>
      </c>
    </row>
    <row r="44" spans="1:3" ht="15.75" x14ac:dyDescent="0.25">
      <c r="A44" s="22" t="s">
        <v>51</v>
      </c>
      <c r="B44" s="23"/>
      <c r="C44" s="23"/>
    </row>
    <row r="46" spans="1:3" x14ac:dyDescent="0.25">
      <c r="A46" t="s">
        <v>52</v>
      </c>
      <c r="B46" s="19">
        <f>B30</f>
        <v>3.3830000000000027</v>
      </c>
      <c r="C46" s="8" t="s">
        <v>53</v>
      </c>
    </row>
    <row r="47" spans="1:3" x14ac:dyDescent="0.25">
      <c r="A47" t="s">
        <v>54</v>
      </c>
      <c r="B47" s="19">
        <f>B22</f>
        <v>1.5153333333333334</v>
      </c>
      <c r="C47" s="8" t="s">
        <v>55</v>
      </c>
    </row>
    <row r="48" spans="1:3" x14ac:dyDescent="0.25">
      <c r="A48" t="s">
        <v>56</v>
      </c>
      <c r="B48" s="20">
        <f>B36</f>
        <v>4.8983333333333361</v>
      </c>
      <c r="C48" s="9" t="s">
        <v>57</v>
      </c>
    </row>
    <row r="50" spans="1:3" x14ac:dyDescent="0.25">
      <c r="A50" s="21" t="s">
        <v>58</v>
      </c>
      <c r="B50" s="25" t="s">
        <v>59</v>
      </c>
      <c r="C50" s="23"/>
    </row>
  </sheetData>
  <mergeCells count="5">
    <mergeCell ref="A44:C44"/>
    <mergeCell ref="A1:C1"/>
    <mergeCell ref="B50:C50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5811-3234-4F48-ABBD-681EA45A0B6A}">
  <dimension ref="A1:M92"/>
  <sheetViews>
    <sheetView tabSelected="1" topLeftCell="A43" workbookViewId="0">
      <selection activeCell="A57" sqref="A57:M92"/>
    </sheetView>
  </sheetViews>
  <sheetFormatPr defaultRowHeight="15" x14ac:dyDescent="0.25"/>
  <cols>
    <col min="1" max="1" width="17.140625" customWidth="1"/>
    <col min="2" max="2" width="53.28515625" customWidth="1"/>
    <col min="3" max="4" width="21" customWidth="1"/>
    <col min="5" max="6" width="17.140625" customWidth="1"/>
    <col min="7" max="7" width="21" customWidth="1"/>
    <col min="8" max="8" width="19" customWidth="1"/>
    <col min="9" max="9" width="38.140625" customWidth="1"/>
  </cols>
  <sheetData>
    <row r="1" spans="1:10" ht="21.75" thickBot="1" x14ac:dyDescent="0.4">
      <c r="A1" s="33" t="s">
        <v>89</v>
      </c>
      <c r="B1" s="33" t="s">
        <v>89</v>
      </c>
      <c r="C1" s="34"/>
      <c r="D1" s="34"/>
      <c r="E1" s="34"/>
      <c r="F1" s="34"/>
      <c r="G1" s="34"/>
      <c r="H1" s="34"/>
      <c r="I1" s="34"/>
      <c r="J1" s="27"/>
    </row>
    <row r="2" spans="1:10" ht="15.75" thickBot="1" x14ac:dyDescent="0.3">
      <c r="A2" s="35" t="s">
        <v>90</v>
      </c>
      <c r="J2" s="27"/>
    </row>
    <row r="3" spans="1:10" ht="15.75" thickBot="1" x14ac:dyDescent="0.3">
      <c r="J3" s="27"/>
    </row>
    <row r="4" spans="1:10" ht="18" thickBot="1" x14ac:dyDescent="0.35">
      <c r="A4" s="45" t="s">
        <v>98</v>
      </c>
      <c r="B4" s="37"/>
      <c r="C4" s="37"/>
      <c r="D4" s="37"/>
      <c r="E4" s="37"/>
      <c r="F4" s="37"/>
      <c r="G4" s="37"/>
      <c r="H4" s="37"/>
      <c r="I4" s="37"/>
      <c r="J4" s="27"/>
    </row>
    <row r="5" spans="1:10" ht="15.75" thickBot="1" x14ac:dyDescent="0.3">
      <c r="A5" s="38" t="s">
        <v>91</v>
      </c>
      <c r="B5" s="38" t="s">
        <v>62</v>
      </c>
      <c r="C5" s="38" t="s">
        <v>63</v>
      </c>
      <c r="D5" s="38" t="s">
        <v>99</v>
      </c>
      <c r="E5" s="38" t="s">
        <v>65</v>
      </c>
      <c r="F5" s="38" t="s">
        <v>80</v>
      </c>
      <c r="G5" s="38" t="s">
        <v>100</v>
      </c>
      <c r="H5" s="38" t="s">
        <v>101</v>
      </c>
      <c r="I5" s="38" t="s">
        <v>102</v>
      </c>
      <c r="J5" s="27"/>
    </row>
    <row r="6" spans="1:10" ht="15.75" thickBot="1" x14ac:dyDescent="0.3">
      <c r="A6" s="41" t="s">
        <v>60</v>
      </c>
      <c r="B6" s="39" t="s">
        <v>66</v>
      </c>
      <c r="C6" s="40" t="s">
        <v>67</v>
      </c>
      <c r="D6" s="40" t="s">
        <v>68</v>
      </c>
      <c r="E6" s="40"/>
      <c r="F6" s="40">
        <v>10</v>
      </c>
      <c r="G6" s="40" t="s">
        <v>70</v>
      </c>
      <c r="H6" s="40" t="s">
        <v>103</v>
      </c>
      <c r="I6" s="43">
        <f>F6*0.4</f>
        <v>4</v>
      </c>
      <c r="J6" s="27"/>
    </row>
    <row r="7" spans="1:10" ht="15.75" thickBot="1" x14ac:dyDescent="0.3">
      <c r="A7" s="53" t="s">
        <v>60</v>
      </c>
      <c r="B7" s="56" t="s">
        <v>104</v>
      </c>
      <c r="C7" s="54" t="s">
        <v>71</v>
      </c>
      <c r="D7" s="54" t="s">
        <v>68</v>
      </c>
      <c r="E7" s="54"/>
      <c r="F7" s="54">
        <v>10</v>
      </c>
      <c r="G7" s="54" t="s">
        <v>70</v>
      </c>
      <c r="H7" s="54" t="s">
        <v>103</v>
      </c>
      <c r="I7" s="55">
        <f>F7*0.4</f>
        <v>4</v>
      </c>
      <c r="J7" s="27"/>
    </row>
    <row r="8" spans="1:10" ht="15.75" thickBot="1" x14ac:dyDescent="0.3">
      <c r="A8" s="41" t="s">
        <v>60</v>
      </c>
      <c r="B8" s="39" t="s">
        <v>72</v>
      </c>
      <c r="C8" s="40" t="s">
        <v>73</v>
      </c>
      <c r="D8" s="40" t="s">
        <v>68</v>
      </c>
      <c r="E8" s="40"/>
      <c r="F8" s="40">
        <v>10</v>
      </c>
      <c r="G8" s="40" t="s">
        <v>70</v>
      </c>
      <c r="H8" s="40" t="s">
        <v>103</v>
      </c>
      <c r="I8" s="43">
        <f>F8*0.4</f>
        <v>4</v>
      </c>
      <c r="J8" s="27"/>
    </row>
    <row r="9" spans="1:10" ht="15.75" thickBot="1" x14ac:dyDescent="0.3">
      <c r="A9" s="53" t="s">
        <v>74</v>
      </c>
      <c r="B9" s="56" t="s">
        <v>75</v>
      </c>
      <c r="C9" s="54" t="s">
        <v>76</v>
      </c>
      <c r="D9" s="54" t="s">
        <v>77</v>
      </c>
      <c r="E9" s="54" t="s">
        <v>105</v>
      </c>
      <c r="F9" s="54">
        <v>15</v>
      </c>
      <c r="G9" s="54"/>
      <c r="H9" s="54" t="s">
        <v>133</v>
      </c>
      <c r="I9" s="55">
        <f>F9*0.45</f>
        <v>6.75</v>
      </c>
      <c r="J9" s="27"/>
    </row>
    <row r="10" spans="1:10" ht="15.75" thickBot="1" x14ac:dyDescent="0.3">
      <c r="A10" s="41" t="s">
        <v>74</v>
      </c>
      <c r="B10" s="39" t="s">
        <v>78</v>
      </c>
      <c r="C10" s="40" t="s">
        <v>79</v>
      </c>
      <c r="D10" s="40" t="s">
        <v>77</v>
      </c>
      <c r="E10" s="40" t="s">
        <v>106</v>
      </c>
      <c r="F10" s="40">
        <v>18</v>
      </c>
      <c r="G10" s="40"/>
      <c r="H10" s="40" t="s">
        <v>103</v>
      </c>
      <c r="I10" s="43">
        <f>F10*0.4</f>
        <v>7.2</v>
      </c>
      <c r="J10" s="27"/>
    </row>
    <row r="11" spans="1:10" ht="15.75" thickBot="1" x14ac:dyDescent="0.3">
      <c r="A11" s="53" t="s">
        <v>94</v>
      </c>
      <c r="B11" s="56" t="s">
        <v>83</v>
      </c>
      <c r="C11" s="54" t="s">
        <v>84</v>
      </c>
      <c r="D11" s="54" t="s">
        <v>95</v>
      </c>
      <c r="E11" s="54" t="s">
        <v>106</v>
      </c>
      <c r="F11" s="54">
        <v>12</v>
      </c>
      <c r="G11" s="54"/>
      <c r="H11" s="54" t="s">
        <v>133</v>
      </c>
      <c r="I11" s="55">
        <f>F11*0.45</f>
        <v>5.4</v>
      </c>
      <c r="J11" s="27"/>
    </row>
    <row r="12" spans="1:10" ht="15.75" thickBot="1" x14ac:dyDescent="0.3">
      <c r="A12" s="41" t="s">
        <v>94</v>
      </c>
      <c r="B12" s="39" t="s">
        <v>85</v>
      </c>
      <c r="C12" s="40" t="s">
        <v>86</v>
      </c>
      <c r="D12" s="40" t="s">
        <v>95</v>
      </c>
      <c r="E12" s="40" t="s">
        <v>87</v>
      </c>
      <c r="F12" s="40">
        <v>40</v>
      </c>
      <c r="G12" s="40"/>
      <c r="H12" s="40" t="s">
        <v>134</v>
      </c>
      <c r="I12" s="43">
        <f>F12*(0.45+0.25)</f>
        <v>28</v>
      </c>
      <c r="J12" s="27"/>
    </row>
    <row r="13" spans="1:10" ht="15.75" thickBot="1" x14ac:dyDescent="0.3">
      <c r="A13" s="53" t="s">
        <v>96</v>
      </c>
      <c r="B13" s="56" t="s">
        <v>85</v>
      </c>
      <c r="C13" s="54" t="s">
        <v>86</v>
      </c>
      <c r="D13" s="54" t="s">
        <v>95</v>
      </c>
      <c r="E13" s="54" t="s">
        <v>87</v>
      </c>
      <c r="F13" s="54">
        <v>20</v>
      </c>
      <c r="G13" s="54"/>
      <c r="H13" s="54" t="s">
        <v>134</v>
      </c>
      <c r="I13" s="55">
        <f>F13*(0.45+0.25)</f>
        <v>14</v>
      </c>
      <c r="J13" s="27"/>
    </row>
    <row r="14" spans="1:10" ht="15.75" thickBot="1" x14ac:dyDescent="0.3">
      <c r="J14" s="27"/>
    </row>
    <row r="15" spans="1:10" ht="15.75" thickBot="1" x14ac:dyDescent="0.3">
      <c r="J15" s="27"/>
    </row>
    <row r="16" spans="1:10" ht="18" thickBot="1" x14ac:dyDescent="0.35">
      <c r="A16" s="45" t="s">
        <v>178</v>
      </c>
      <c r="B16" s="37"/>
      <c r="C16" s="37"/>
      <c r="D16" s="37"/>
      <c r="E16" s="37"/>
      <c r="F16" s="37"/>
      <c r="G16" s="37"/>
      <c r="H16" s="37"/>
      <c r="I16" s="37"/>
      <c r="J16" s="27"/>
    </row>
    <row r="17" spans="1:10" ht="15.75" thickBot="1" x14ac:dyDescent="0.3">
      <c r="A17" s="38" t="s">
        <v>171</v>
      </c>
      <c r="B17" s="38" t="s">
        <v>93</v>
      </c>
      <c r="C17" s="38" t="s">
        <v>107</v>
      </c>
      <c r="D17" s="38" t="s">
        <v>179</v>
      </c>
      <c r="E17" s="38" t="s">
        <v>180</v>
      </c>
      <c r="F17" s="38" t="s">
        <v>181</v>
      </c>
      <c r="G17" s="38" t="s">
        <v>4</v>
      </c>
      <c r="H17" s="46"/>
      <c r="I17" s="46"/>
      <c r="J17" s="27"/>
    </row>
    <row r="18" spans="1:10" ht="15.75" thickBot="1" x14ac:dyDescent="0.3">
      <c r="A18" s="41" t="s">
        <v>60</v>
      </c>
      <c r="B18" s="43">
        <v>0</v>
      </c>
      <c r="C18" s="43">
        <v>0</v>
      </c>
      <c r="D18" s="58">
        <f>B18+C18</f>
        <v>0</v>
      </c>
      <c r="E18" s="43">
        <f>D18*0.2</f>
        <v>0</v>
      </c>
      <c r="F18" s="58">
        <f>D18*1.2</f>
        <v>0</v>
      </c>
      <c r="G18" s="47" t="s">
        <v>182</v>
      </c>
      <c r="J18" s="27"/>
    </row>
    <row r="19" spans="1:10" ht="15.75" thickBot="1" x14ac:dyDescent="0.3">
      <c r="A19" s="53" t="s">
        <v>74</v>
      </c>
      <c r="B19" s="55">
        <f>SUM(I9:I10)</f>
        <v>13.95</v>
      </c>
      <c r="C19" s="55">
        <v>5</v>
      </c>
      <c r="D19" s="59">
        <f>B19+C19</f>
        <v>18.95</v>
      </c>
      <c r="E19" s="64">
        <f>D19*0.2</f>
        <v>3.79</v>
      </c>
      <c r="F19" s="59">
        <f>D19*1.2</f>
        <v>22.74</v>
      </c>
      <c r="G19" s="56" t="s">
        <v>183</v>
      </c>
      <c r="J19" s="27"/>
    </row>
    <row r="20" spans="1:10" ht="15.75" thickBot="1" x14ac:dyDescent="0.3">
      <c r="A20" s="41" t="s">
        <v>94</v>
      </c>
      <c r="B20" s="43">
        <f>SUM(I11:I12)</f>
        <v>33.4</v>
      </c>
      <c r="C20" s="43">
        <v>9</v>
      </c>
      <c r="D20" s="58">
        <f>B20+C20</f>
        <v>42.4</v>
      </c>
      <c r="E20" s="43">
        <f>D20*0.2</f>
        <v>8.48</v>
      </c>
      <c r="F20" s="58">
        <f>D20*1.2</f>
        <v>50.879999999999995</v>
      </c>
      <c r="G20" s="40" t="s">
        <v>135</v>
      </c>
      <c r="J20" s="27"/>
    </row>
    <row r="21" spans="1:10" ht="15.75" thickBot="1" x14ac:dyDescent="0.3">
      <c r="A21" s="53" t="s">
        <v>96</v>
      </c>
      <c r="B21" s="55">
        <f>I13</f>
        <v>14</v>
      </c>
      <c r="C21" s="55">
        <v>3</v>
      </c>
      <c r="D21" s="59">
        <f>B21+C21</f>
        <v>17</v>
      </c>
      <c r="E21" s="55">
        <f>D21*0.2</f>
        <v>3.4000000000000004</v>
      </c>
      <c r="F21" s="59">
        <f>D21*1.2</f>
        <v>20.399999999999999</v>
      </c>
      <c r="G21" s="54" t="s">
        <v>136</v>
      </c>
      <c r="J21" s="27"/>
    </row>
    <row r="22" spans="1:10" ht="15.75" thickBot="1" x14ac:dyDescent="0.3">
      <c r="A22" s="41"/>
      <c r="B22" s="40"/>
      <c r="C22" s="42"/>
      <c r="D22" s="40"/>
      <c r="E22" s="40"/>
      <c r="F22" s="43"/>
      <c r="G22" s="40"/>
      <c r="J22" s="27"/>
    </row>
    <row r="23" spans="1:10" ht="15.75" thickBot="1" x14ac:dyDescent="0.3">
      <c r="A23" s="65" t="s">
        <v>184</v>
      </c>
      <c r="B23" s="67">
        <f>SUM(B18:B21)</f>
        <v>61.349999999999994</v>
      </c>
      <c r="C23" s="67">
        <f>SUM(C18:C21)</f>
        <v>17</v>
      </c>
      <c r="D23" s="67">
        <f>SUM(D18:D21)</f>
        <v>78.349999999999994</v>
      </c>
      <c r="E23" s="67">
        <f>SUM(E18:E21)</f>
        <v>15.67</v>
      </c>
      <c r="F23" s="67">
        <f>SUM(F18:F21)</f>
        <v>94.019999999999982</v>
      </c>
      <c r="G23" s="68"/>
      <c r="J23" s="27"/>
    </row>
    <row r="24" spans="1:10" ht="15.75" thickBot="1" x14ac:dyDescent="0.3">
      <c r="J24" s="27"/>
    </row>
    <row r="25" spans="1:10" ht="15.75" thickBot="1" x14ac:dyDescent="0.3">
      <c r="J25" s="27"/>
    </row>
    <row r="26" spans="1:10" ht="18" thickBot="1" x14ac:dyDescent="0.35">
      <c r="A26" s="45" t="s">
        <v>108</v>
      </c>
      <c r="B26" s="37"/>
      <c r="C26" s="37"/>
      <c r="D26" s="37"/>
      <c r="E26" s="37"/>
      <c r="F26" s="37"/>
      <c r="J26" s="27"/>
    </row>
    <row r="27" spans="1:10" ht="15.75" thickBot="1" x14ac:dyDescent="0.3">
      <c r="A27" s="38" t="s">
        <v>109</v>
      </c>
      <c r="B27" s="38" t="s">
        <v>110</v>
      </c>
      <c r="J27" s="27"/>
    </row>
    <row r="28" spans="1:10" ht="15.75" thickBot="1" x14ac:dyDescent="0.3">
      <c r="A28" s="39" t="s">
        <v>111</v>
      </c>
      <c r="B28" s="48" t="s">
        <v>112</v>
      </c>
      <c r="J28" s="27"/>
    </row>
    <row r="29" spans="1:10" ht="15.75" thickBot="1" x14ac:dyDescent="0.3">
      <c r="A29" s="56" t="s">
        <v>113</v>
      </c>
      <c r="B29" s="57" t="s">
        <v>114</v>
      </c>
      <c r="J29" s="27"/>
    </row>
    <row r="30" spans="1:10" ht="15.75" thickBot="1" x14ac:dyDescent="0.3">
      <c r="A30" s="39" t="s">
        <v>115</v>
      </c>
      <c r="B30" s="48" t="s">
        <v>116</v>
      </c>
      <c r="J30" s="27"/>
    </row>
    <row r="31" spans="1:10" ht="15.75" thickBot="1" x14ac:dyDescent="0.3">
      <c r="A31" s="56" t="s">
        <v>117</v>
      </c>
      <c r="B31" s="57" t="s">
        <v>118</v>
      </c>
      <c r="J31" s="27"/>
    </row>
    <row r="32" spans="1:10" ht="15.75" thickBot="1" x14ac:dyDescent="0.3">
      <c r="A32" s="39" t="s">
        <v>119</v>
      </c>
      <c r="B32" s="48" t="s">
        <v>116</v>
      </c>
      <c r="J32" s="27"/>
    </row>
    <row r="33" spans="1:10" ht="15.75" thickBot="1" x14ac:dyDescent="0.3">
      <c r="A33" s="56" t="s">
        <v>120</v>
      </c>
      <c r="B33" s="57" t="s">
        <v>121</v>
      </c>
      <c r="J33" s="27"/>
    </row>
    <row r="34" spans="1:10" ht="15.75" thickBot="1" x14ac:dyDescent="0.3">
      <c r="A34" s="39" t="s">
        <v>122</v>
      </c>
      <c r="B34" s="48" t="s">
        <v>123</v>
      </c>
      <c r="J34" s="27"/>
    </row>
    <row r="35" spans="1:10" ht="15.75" thickBot="1" x14ac:dyDescent="0.3">
      <c r="A35" s="56" t="s">
        <v>124</v>
      </c>
      <c r="B35" s="57" t="s">
        <v>125</v>
      </c>
      <c r="J35" s="27"/>
    </row>
    <row r="36" spans="1:10" ht="15.75" thickBot="1" x14ac:dyDescent="0.3">
      <c r="A36" s="39"/>
      <c r="B36" s="39"/>
      <c r="J36" s="27"/>
    </row>
    <row r="37" spans="1:10" ht="15.75" thickBot="1" x14ac:dyDescent="0.3">
      <c r="A37" s="49" t="s">
        <v>126</v>
      </c>
      <c r="B37" s="50" t="s">
        <v>127</v>
      </c>
      <c r="J37" s="27"/>
    </row>
    <row r="38" spans="1:10" ht="15.75" thickBot="1" x14ac:dyDescent="0.3">
      <c r="A38" s="49" t="s">
        <v>128</v>
      </c>
      <c r="B38" s="50" t="s">
        <v>127</v>
      </c>
      <c r="J38" s="27"/>
    </row>
    <row r="39" spans="1:10" ht="15.75" thickBot="1" x14ac:dyDescent="0.3">
      <c r="A39" s="51" t="s">
        <v>129</v>
      </c>
      <c r="B39" s="52"/>
      <c r="C39" s="27"/>
      <c r="D39" s="27"/>
      <c r="E39" s="27"/>
      <c r="F39" s="27"/>
      <c r="G39" s="27"/>
      <c r="H39" s="27"/>
      <c r="I39" s="27"/>
      <c r="J39" s="27"/>
    </row>
    <row r="40" spans="1:10" x14ac:dyDescent="0.25">
      <c r="A40" s="49" t="s">
        <v>130</v>
      </c>
      <c r="B40" s="50" t="s">
        <v>127</v>
      </c>
    </row>
    <row r="41" spans="1:10" x14ac:dyDescent="0.25">
      <c r="A41" s="49" t="s">
        <v>131</v>
      </c>
      <c r="B41" s="50" t="s">
        <v>132</v>
      </c>
    </row>
    <row r="44" spans="1:10" ht="17.25" x14ac:dyDescent="0.3">
      <c r="A44" s="36" t="s">
        <v>185</v>
      </c>
      <c r="B44" s="37"/>
      <c r="C44" s="37"/>
      <c r="D44" s="37"/>
      <c r="E44" s="37"/>
      <c r="F44" s="37"/>
      <c r="G44" s="37"/>
    </row>
    <row r="45" spans="1:10" x14ac:dyDescent="0.25">
      <c r="A45" s="38" t="s">
        <v>62</v>
      </c>
      <c r="B45" s="38" t="s">
        <v>63</v>
      </c>
      <c r="C45" s="38" t="s">
        <v>92</v>
      </c>
      <c r="D45" s="38" t="s">
        <v>186</v>
      </c>
      <c r="E45" s="38" t="s">
        <v>101</v>
      </c>
      <c r="F45" s="38" t="s">
        <v>102</v>
      </c>
      <c r="G45" s="38" t="s">
        <v>4</v>
      </c>
    </row>
    <row r="46" spans="1:10" x14ac:dyDescent="0.25">
      <c r="A46" s="39" t="s">
        <v>157</v>
      </c>
      <c r="B46" s="40" t="s">
        <v>158</v>
      </c>
      <c r="C46" s="40" t="s">
        <v>159</v>
      </c>
      <c r="D46" s="40">
        <v>124</v>
      </c>
      <c r="E46" s="40" t="s">
        <v>103</v>
      </c>
      <c r="F46" s="43">
        <f>D46*0.4</f>
        <v>49.6</v>
      </c>
      <c r="G46" s="69" t="s">
        <v>187</v>
      </c>
    </row>
    <row r="47" spans="1:10" x14ac:dyDescent="0.25">
      <c r="A47" s="56" t="s">
        <v>161</v>
      </c>
      <c r="B47" s="54" t="s">
        <v>162</v>
      </c>
      <c r="C47" s="54" t="s">
        <v>159</v>
      </c>
      <c r="D47" s="54">
        <v>47</v>
      </c>
      <c r="E47" s="54" t="s">
        <v>103</v>
      </c>
      <c r="F47" s="55">
        <f>D47*0.4</f>
        <v>18.8</v>
      </c>
      <c r="G47" s="56"/>
    </row>
    <row r="48" spans="1:10" x14ac:dyDescent="0.25">
      <c r="A48" s="39" t="s">
        <v>163</v>
      </c>
      <c r="B48" s="40" t="s">
        <v>164</v>
      </c>
      <c r="C48" s="40" t="s">
        <v>159</v>
      </c>
      <c r="D48" s="40">
        <v>10</v>
      </c>
      <c r="E48" s="40" t="s">
        <v>103</v>
      </c>
      <c r="F48" s="43">
        <f>D48*0.4</f>
        <v>4</v>
      </c>
      <c r="G48" s="39"/>
    </row>
    <row r="49" spans="1:13" x14ac:dyDescent="0.25">
      <c r="A49" s="56" t="s">
        <v>165</v>
      </c>
      <c r="B49" s="54" t="s">
        <v>166</v>
      </c>
      <c r="C49" s="54" t="s">
        <v>159</v>
      </c>
      <c r="D49" s="54">
        <v>21</v>
      </c>
      <c r="E49" s="54" t="s">
        <v>103</v>
      </c>
      <c r="F49" s="55">
        <f>D49*0.4</f>
        <v>8.4</v>
      </c>
      <c r="G49" s="56"/>
    </row>
    <row r="50" spans="1:13" x14ac:dyDescent="0.25">
      <c r="A50" s="39"/>
    </row>
    <row r="51" spans="1:13" x14ac:dyDescent="0.25">
      <c r="A51" s="66" t="s">
        <v>188</v>
      </c>
      <c r="B51" s="70"/>
      <c r="C51" s="70"/>
      <c r="D51" s="66">
        <f>SUM(D46:D49)</f>
        <v>202</v>
      </c>
      <c r="E51" s="71" t="s">
        <v>189</v>
      </c>
      <c r="F51" s="67">
        <f>SUM(F46:F49)</f>
        <v>80.800000000000011</v>
      </c>
      <c r="G51" s="72" t="e" cm="1">
        <f t="array" ref="G51">+ boxes TBD</f>
        <v>#NAME?</v>
      </c>
    </row>
    <row r="52" spans="1:13" x14ac:dyDescent="0.25">
      <c r="A52" s="70"/>
      <c r="B52" s="70"/>
      <c r="C52" s="70"/>
      <c r="D52" s="70"/>
      <c r="E52" s="71" t="s">
        <v>190</v>
      </c>
      <c r="F52" s="67">
        <f>F51*1.2</f>
        <v>96.960000000000008</v>
      </c>
      <c r="G52" s="72" t="e" cm="1">
        <f t="array" ref="G52">+ boxes TBD</f>
        <v>#NAME?</v>
      </c>
    </row>
    <row r="56" spans="1:13" ht="15.75" thickBot="1" x14ac:dyDescent="0.3"/>
    <row r="57" spans="1:13" ht="15.75" thickBot="1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</row>
    <row r="58" spans="1:13" ht="15.75" thickBot="1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</row>
    <row r="59" spans="1:13" ht="16.5" thickBot="1" x14ac:dyDescent="0.3">
      <c r="A59" s="27"/>
      <c r="B59" s="27"/>
      <c r="C59" s="27"/>
      <c r="D59" s="27"/>
      <c r="E59" s="27"/>
      <c r="F59" s="27"/>
      <c r="G59" s="28" t="s">
        <v>61</v>
      </c>
      <c r="H59" s="28" t="s">
        <v>81</v>
      </c>
      <c r="I59" s="28" t="s">
        <v>82</v>
      </c>
      <c r="J59" s="28" t="s">
        <v>191</v>
      </c>
      <c r="K59" s="28" t="s">
        <v>192</v>
      </c>
      <c r="L59" s="28" t="s">
        <v>193</v>
      </c>
      <c r="M59" s="28" t="s">
        <v>194</v>
      </c>
    </row>
    <row r="60" spans="1:13" ht="30.75" thickBot="1" x14ac:dyDescent="0.3">
      <c r="A60" s="73" t="s">
        <v>195</v>
      </c>
      <c r="B60" s="74">
        <v>1</v>
      </c>
      <c r="C60" s="29"/>
      <c r="D60" s="29"/>
      <c r="E60" s="29"/>
      <c r="F60" s="29"/>
      <c r="G60" s="28">
        <v>10.3</v>
      </c>
      <c r="H60" s="28">
        <v>8.9</v>
      </c>
      <c r="I60" s="28">
        <v>11.2</v>
      </c>
      <c r="J60" s="28">
        <v>13.7</v>
      </c>
      <c r="K60" s="28">
        <v>13.7</v>
      </c>
      <c r="L60" s="28">
        <v>13.7</v>
      </c>
      <c r="M60" s="28">
        <v>1.8</v>
      </c>
    </row>
    <row r="61" spans="1:13" ht="32.25" thickBot="1" x14ac:dyDescent="0.3">
      <c r="A61" s="73" t="s">
        <v>196</v>
      </c>
      <c r="B61" s="73" t="s">
        <v>197</v>
      </c>
      <c r="C61" s="29"/>
      <c r="D61" s="73" t="s">
        <v>63</v>
      </c>
      <c r="E61" s="73" t="s">
        <v>64</v>
      </c>
      <c r="F61" s="73" t="s">
        <v>198</v>
      </c>
      <c r="G61" s="28" t="s">
        <v>199</v>
      </c>
      <c r="H61" s="28" t="s">
        <v>199</v>
      </c>
      <c r="I61" s="28" t="s">
        <v>199</v>
      </c>
      <c r="J61" s="28" t="s">
        <v>199</v>
      </c>
      <c r="K61" s="28" t="s">
        <v>199</v>
      </c>
      <c r="L61" s="28" t="s">
        <v>199</v>
      </c>
      <c r="M61" s="28" t="s">
        <v>200</v>
      </c>
    </row>
    <row r="62" spans="1:13" ht="60.75" thickBot="1" x14ac:dyDescent="0.3">
      <c r="A62" s="75" t="s">
        <v>201</v>
      </c>
      <c r="B62" s="75" t="s">
        <v>202</v>
      </c>
      <c r="C62" s="76" t="s">
        <v>203</v>
      </c>
      <c r="D62" s="75" t="s">
        <v>164</v>
      </c>
      <c r="E62" s="75" t="s">
        <v>204</v>
      </c>
      <c r="F62" s="77">
        <v>6</v>
      </c>
      <c r="G62" s="31">
        <v>6</v>
      </c>
      <c r="H62" s="30"/>
      <c r="I62" s="30"/>
      <c r="J62" s="30"/>
      <c r="K62" s="30"/>
      <c r="L62" s="30"/>
      <c r="M62" s="30"/>
    </row>
    <row r="63" spans="1:13" ht="60.75" thickBot="1" x14ac:dyDescent="0.3">
      <c r="A63" s="75" t="s">
        <v>205</v>
      </c>
      <c r="B63" s="75" t="s">
        <v>206</v>
      </c>
      <c r="C63" s="76" t="s">
        <v>207</v>
      </c>
      <c r="D63" s="75" t="s">
        <v>162</v>
      </c>
      <c r="E63" s="75" t="s">
        <v>208</v>
      </c>
      <c r="F63" s="77">
        <v>30</v>
      </c>
      <c r="G63" s="31">
        <v>16</v>
      </c>
      <c r="H63" s="31">
        <v>14</v>
      </c>
      <c r="I63" s="30"/>
      <c r="J63" s="30"/>
      <c r="K63" s="30"/>
      <c r="L63" s="30"/>
      <c r="M63" s="30"/>
    </row>
    <row r="64" spans="1:13" ht="60.75" thickBot="1" x14ac:dyDescent="0.3">
      <c r="A64" s="75" t="s">
        <v>209</v>
      </c>
      <c r="B64" s="75" t="s">
        <v>210</v>
      </c>
      <c r="C64" s="76" t="s">
        <v>211</v>
      </c>
      <c r="D64" s="75" t="s">
        <v>166</v>
      </c>
      <c r="E64" s="75" t="s">
        <v>212</v>
      </c>
      <c r="F64" s="77">
        <v>13</v>
      </c>
      <c r="G64" s="30"/>
      <c r="H64" s="31">
        <v>6</v>
      </c>
      <c r="I64" s="31">
        <v>7</v>
      </c>
      <c r="J64" s="30"/>
      <c r="K64" s="30"/>
      <c r="L64" s="30"/>
      <c r="M64" s="30"/>
    </row>
    <row r="65" spans="1:13" ht="60.75" thickBot="1" x14ac:dyDescent="0.3">
      <c r="A65" s="75" t="s">
        <v>213</v>
      </c>
      <c r="B65" s="75" t="s">
        <v>214</v>
      </c>
      <c r="C65" s="76" t="s">
        <v>203</v>
      </c>
      <c r="D65" s="75" t="s">
        <v>158</v>
      </c>
      <c r="E65" s="75" t="s">
        <v>215</v>
      </c>
      <c r="F65" s="77">
        <v>71</v>
      </c>
      <c r="G65" s="30"/>
      <c r="H65" s="30"/>
      <c r="I65" s="31">
        <v>12</v>
      </c>
      <c r="J65" s="31">
        <v>19</v>
      </c>
      <c r="K65" s="31">
        <v>19</v>
      </c>
      <c r="L65" s="31">
        <v>19</v>
      </c>
      <c r="M65" s="31">
        <v>2</v>
      </c>
    </row>
    <row r="66" spans="1:13" ht="16.5" thickBot="1" x14ac:dyDescent="0.3">
      <c r="A66" s="29"/>
      <c r="B66" s="29"/>
      <c r="C66" s="29"/>
      <c r="D66" s="29"/>
      <c r="E66" s="29"/>
      <c r="F66" s="29"/>
      <c r="G66" s="28" t="s">
        <v>61</v>
      </c>
      <c r="H66" s="28" t="s">
        <v>81</v>
      </c>
      <c r="I66" s="28" t="s">
        <v>82</v>
      </c>
      <c r="J66" s="29"/>
      <c r="K66" s="29"/>
      <c r="L66" s="29"/>
      <c r="M66" s="29"/>
    </row>
    <row r="67" spans="1:13" ht="30.75" thickBot="1" x14ac:dyDescent="0.3">
      <c r="A67" s="73" t="s">
        <v>195</v>
      </c>
      <c r="B67" s="78">
        <v>2</v>
      </c>
      <c r="C67" s="27"/>
      <c r="D67" s="27"/>
      <c r="E67" s="27"/>
      <c r="F67" s="27"/>
      <c r="G67" s="28">
        <v>9.5</v>
      </c>
      <c r="H67" s="28">
        <v>13.7</v>
      </c>
      <c r="I67" s="28">
        <v>6.4</v>
      </c>
      <c r="J67" s="27"/>
      <c r="K67" s="27"/>
      <c r="L67" s="27"/>
      <c r="M67" s="27"/>
    </row>
    <row r="68" spans="1:13" ht="16.5" thickBot="1" x14ac:dyDescent="0.3">
      <c r="A68" s="73" t="s">
        <v>196</v>
      </c>
      <c r="B68" s="73" t="s">
        <v>197</v>
      </c>
      <c r="C68" s="29"/>
      <c r="D68" s="73" t="s">
        <v>63</v>
      </c>
      <c r="E68" s="73" t="s">
        <v>64</v>
      </c>
      <c r="F68" s="73" t="s">
        <v>198</v>
      </c>
      <c r="G68" s="28" t="s">
        <v>199</v>
      </c>
      <c r="H68" s="28" t="s">
        <v>199</v>
      </c>
      <c r="I68" s="28" t="s">
        <v>199</v>
      </c>
      <c r="J68" s="27"/>
      <c r="K68" s="27"/>
      <c r="L68" s="27"/>
      <c r="M68" s="27"/>
    </row>
    <row r="69" spans="1:13" ht="60.75" thickBot="1" x14ac:dyDescent="0.3">
      <c r="A69" s="75" t="s">
        <v>201</v>
      </c>
      <c r="B69" s="75" t="s">
        <v>202</v>
      </c>
      <c r="C69" s="76" t="s">
        <v>203</v>
      </c>
      <c r="D69" s="75" t="s">
        <v>164</v>
      </c>
      <c r="E69" s="75" t="s">
        <v>204</v>
      </c>
      <c r="F69" s="77">
        <v>2</v>
      </c>
      <c r="G69" s="31">
        <v>2</v>
      </c>
      <c r="H69" s="30"/>
      <c r="I69" s="30"/>
      <c r="J69" s="30"/>
      <c r="K69" s="30"/>
      <c r="L69" s="30"/>
      <c r="M69" s="30"/>
    </row>
    <row r="70" spans="1:13" ht="60.75" thickBot="1" x14ac:dyDescent="0.3">
      <c r="A70" s="75" t="s">
        <v>205</v>
      </c>
      <c r="B70" s="75" t="s">
        <v>206</v>
      </c>
      <c r="C70" s="76" t="s">
        <v>207</v>
      </c>
      <c r="D70" s="75" t="s">
        <v>162</v>
      </c>
      <c r="E70" s="75" t="s">
        <v>208</v>
      </c>
      <c r="F70" s="77">
        <v>8</v>
      </c>
      <c r="G70" s="31">
        <v>8</v>
      </c>
      <c r="H70" s="30"/>
      <c r="I70" s="30"/>
      <c r="J70" s="30"/>
      <c r="K70" s="30"/>
      <c r="L70" s="30"/>
      <c r="M70" s="30"/>
    </row>
    <row r="71" spans="1:13" ht="60.75" thickBot="1" x14ac:dyDescent="0.3">
      <c r="A71" s="75" t="s">
        <v>209</v>
      </c>
      <c r="B71" s="75" t="s">
        <v>210</v>
      </c>
      <c r="C71" s="76" t="s">
        <v>211</v>
      </c>
      <c r="D71" s="75" t="s">
        <v>166</v>
      </c>
      <c r="E71" s="75" t="s">
        <v>212</v>
      </c>
      <c r="F71" s="77">
        <v>5</v>
      </c>
      <c r="G71" s="31">
        <v>5</v>
      </c>
      <c r="H71" s="30"/>
      <c r="I71" s="30"/>
      <c r="J71" s="30"/>
      <c r="K71" s="30"/>
      <c r="L71" s="30"/>
      <c r="M71" s="30"/>
    </row>
    <row r="72" spans="1:13" ht="60.75" thickBot="1" x14ac:dyDescent="0.3">
      <c r="A72" s="75" t="s">
        <v>213</v>
      </c>
      <c r="B72" s="75" t="s">
        <v>214</v>
      </c>
      <c r="C72" s="76" t="s">
        <v>203</v>
      </c>
      <c r="D72" s="75" t="s">
        <v>158</v>
      </c>
      <c r="E72" s="75" t="s">
        <v>215</v>
      </c>
      <c r="F72" s="77">
        <v>31</v>
      </c>
      <c r="G72" s="31">
        <v>4</v>
      </c>
      <c r="H72" s="31">
        <v>19</v>
      </c>
      <c r="I72" s="31">
        <v>8</v>
      </c>
      <c r="J72" s="30"/>
      <c r="K72" s="30"/>
      <c r="L72" s="30"/>
      <c r="M72" s="30"/>
    </row>
    <row r="73" spans="1:13" ht="16.5" thickBot="1" x14ac:dyDescent="0.3">
      <c r="A73" s="29"/>
      <c r="B73" s="29"/>
      <c r="C73" s="29"/>
      <c r="D73" s="29"/>
      <c r="E73" s="29"/>
      <c r="F73" s="29"/>
      <c r="G73" s="28" t="s">
        <v>61</v>
      </c>
      <c r="H73" s="27"/>
      <c r="I73" s="27"/>
      <c r="J73" s="29"/>
      <c r="K73" s="29"/>
      <c r="L73" s="29"/>
      <c r="M73" s="29"/>
    </row>
    <row r="74" spans="1:13" ht="30.75" thickBot="1" x14ac:dyDescent="0.3">
      <c r="A74" s="73" t="s">
        <v>195</v>
      </c>
      <c r="B74" s="78">
        <v>3</v>
      </c>
      <c r="C74" s="29"/>
      <c r="D74" s="29"/>
      <c r="E74" s="29"/>
      <c r="F74" s="29"/>
      <c r="G74" s="79">
        <v>11.3</v>
      </c>
      <c r="H74" s="29"/>
      <c r="I74" s="27"/>
      <c r="J74" s="29"/>
      <c r="K74" s="29"/>
      <c r="L74" s="29"/>
      <c r="M74" s="29"/>
    </row>
    <row r="75" spans="1:13" ht="16.5" thickBot="1" x14ac:dyDescent="0.3">
      <c r="A75" s="73" t="s">
        <v>196</v>
      </c>
      <c r="B75" s="73" t="s">
        <v>197</v>
      </c>
      <c r="C75" s="29"/>
      <c r="D75" s="73" t="s">
        <v>63</v>
      </c>
      <c r="E75" s="73" t="s">
        <v>64</v>
      </c>
      <c r="F75" s="73" t="s">
        <v>198</v>
      </c>
      <c r="G75" s="28" t="s">
        <v>199</v>
      </c>
      <c r="H75" s="27"/>
      <c r="I75" s="29"/>
      <c r="J75" s="29"/>
      <c r="K75" s="29"/>
      <c r="L75" s="29"/>
      <c r="M75" s="29"/>
    </row>
    <row r="76" spans="1:13" ht="60.75" thickBot="1" x14ac:dyDescent="0.3">
      <c r="A76" s="75" t="s">
        <v>201</v>
      </c>
      <c r="B76" s="75" t="s">
        <v>202</v>
      </c>
      <c r="C76" s="76" t="s">
        <v>203</v>
      </c>
      <c r="D76" s="75" t="s">
        <v>164</v>
      </c>
      <c r="E76" s="75" t="s">
        <v>204</v>
      </c>
      <c r="F76" s="77">
        <v>1</v>
      </c>
      <c r="G76" s="31">
        <v>1</v>
      </c>
      <c r="H76" s="30"/>
      <c r="I76" s="30"/>
      <c r="J76" s="30"/>
      <c r="K76" s="30"/>
      <c r="L76" s="30"/>
      <c r="M76" s="30"/>
    </row>
    <row r="77" spans="1:13" ht="60.75" thickBot="1" x14ac:dyDescent="0.3">
      <c r="A77" s="75" t="s">
        <v>205</v>
      </c>
      <c r="B77" s="75" t="s">
        <v>206</v>
      </c>
      <c r="C77" s="76" t="s">
        <v>207</v>
      </c>
      <c r="D77" s="75" t="s">
        <v>162</v>
      </c>
      <c r="E77" s="75" t="s">
        <v>208</v>
      </c>
      <c r="F77" s="77">
        <v>4</v>
      </c>
      <c r="G77" s="31">
        <v>4</v>
      </c>
      <c r="H77" s="30"/>
      <c r="I77" s="30"/>
      <c r="J77" s="30"/>
      <c r="K77" s="30"/>
      <c r="L77" s="30"/>
      <c r="M77" s="30"/>
    </row>
    <row r="78" spans="1:13" ht="60.75" thickBot="1" x14ac:dyDescent="0.3">
      <c r="A78" s="75" t="s">
        <v>209</v>
      </c>
      <c r="B78" s="75" t="s">
        <v>210</v>
      </c>
      <c r="C78" s="76" t="s">
        <v>211</v>
      </c>
      <c r="D78" s="75" t="s">
        <v>166</v>
      </c>
      <c r="E78" s="75" t="s">
        <v>212</v>
      </c>
      <c r="F78" s="77">
        <v>2</v>
      </c>
      <c r="G78" s="31">
        <v>2</v>
      </c>
      <c r="H78" s="30"/>
      <c r="I78" s="30"/>
      <c r="J78" s="30"/>
      <c r="K78" s="30"/>
      <c r="L78" s="30"/>
      <c r="M78" s="30"/>
    </row>
    <row r="79" spans="1:13" ht="60.75" thickBot="1" x14ac:dyDescent="0.3">
      <c r="A79" s="75" t="s">
        <v>213</v>
      </c>
      <c r="B79" s="75" t="s">
        <v>214</v>
      </c>
      <c r="C79" s="76" t="s">
        <v>203</v>
      </c>
      <c r="D79" s="75" t="s">
        <v>158</v>
      </c>
      <c r="E79" s="75" t="s">
        <v>215</v>
      </c>
      <c r="F79" s="77">
        <v>11</v>
      </c>
      <c r="G79" s="31">
        <v>11</v>
      </c>
      <c r="H79" s="30"/>
      <c r="I79" s="30"/>
      <c r="J79" s="30"/>
      <c r="K79" s="30"/>
      <c r="L79" s="30"/>
      <c r="M79" s="30"/>
    </row>
    <row r="80" spans="1:13" ht="16.5" thickBot="1" x14ac:dyDescent="0.3">
      <c r="A80" s="29"/>
      <c r="B80" s="29"/>
      <c r="C80" s="29"/>
      <c r="D80" s="29"/>
      <c r="E80" s="29"/>
      <c r="F80" s="29"/>
      <c r="G80" s="28" t="s">
        <v>61</v>
      </c>
      <c r="H80" s="27"/>
      <c r="I80" s="27"/>
      <c r="J80" s="29"/>
      <c r="K80" s="29"/>
      <c r="L80" s="29"/>
      <c r="M80" s="29"/>
    </row>
    <row r="81" spans="1:13" ht="30.75" thickBot="1" x14ac:dyDescent="0.3">
      <c r="A81" s="73" t="s">
        <v>195</v>
      </c>
      <c r="B81" s="78">
        <v>4</v>
      </c>
      <c r="C81" s="29"/>
      <c r="D81" s="29"/>
      <c r="E81" s="29"/>
      <c r="F81" s="29"/>
      <c r="G81" s="79">
        <v>12</v>
      </c>
      <c r="H81" s="29"/>
      <c r="I81" s="27"/>
      <c r="J81" s="29"/>
      <c r="K81" s="29"/>
      <c r="L81" s="29"/>
      <c r="M81" s="29"/>
    </row>
    <row r="82" spans="1:13" ht="16.5" thickBot="1" x14ac:dyDescent="0.3">
      <c r="A82" s="29" t="s">
        <v>196</v>
      </c>
      <c r="B82" s="29" t="s">
        <v>197</v>
      </c>
      <c r="C82" s="29"/>
      <c r="D82" s="29" t="s">
        <v>63</v>
      </c>
      <c r="E82" s="29" t="s">
        <v>64</v>
      </c>
      <c r="F82" s="29" t="s">
        <v>198</v>
      </c>
      <c r="G82" s="28" t="s">
        <v>199</v>
      </c>
      <c r="H82" s="27"/>
      <c r="I82" s="27"/>
      <c r="J82" s="29"/>
      <c r="K82" s="29"/>
      <c r="L82" s="29"/>
      <c r="M82" s="29"/>
    </row>
    <row r="83" spans="1:13" ht="52.5" thickBot="1" x14ac:dyDescent="0.3">
      <c r="A83" s="30" t="s">
        <v>201</v>
      </c>
      <c r="B83" s="30" t="s">
        <v>202</v>
      </c>
      <c r="C83" s="76" t="s">
        <v>203</v>
      </c>
      <c r="D83" s="30" t="s">
        <v>164</v>
      </c>
      <c r="E83" s="30" t="s">
        <v>204</v>
      </c>
      <c r="F83" s="80">
        <v>1</v>
      </c>
      <c r="G83" s="31">
        <v>1</v>
      </c>
      <c r="H83" s="30"/>
      <c r="I83" s="30"/>
      <c r="J83" s="30"/>
      <c r="K83" s="30"/>
      <c r="L83" s="30"/>
      <c r="M83" s="30"/>
    </row>
    <row r="84" spans="1:13" ht="52.5" thickBot="1" x14ac:dyDescent="0.3">
      <c r="A84" s="30" t="s">
        <v>205</v>
      </c>
      <c r="B84" s="30" t="s">
        <v>206</v>
      </c>
      <c r="C84" s="76" t="s">
        <v>207</v>
      </c>
      <c r="D84" s="30" t="s">
        <v>162</v>
      </c>
      <c r="E84" s="30" t="s">
        <v>208</v>
      </c>
      <c r="F84" s="80">
        <v>5</v>
      </c>
      <c r="G84" s="31">
        <v>5</v>
      </c>
      <c r="H84" s="30"/>
      <c r="I84" s="30"/>
      <c r="J84" s="30"/>
      <c r="K84" s="30"/>
      <c r="L84" s="30"/>
      <c r="M84" s="30"/>
    </row>
    <row r="85" spans="1:13" ht="39.75" thickBot="1" x14ac:dyDescent="0.3">
      <c r="A85" s="30" t="s">
        <v>209</v>
      </c>
      <c r="B85" s="30" t="s">
        <v>210</v>
      </c>
      <c r="C85" s="76" t="s">
        <v>211</v>
      </c>
      <c r="D85" s="30" t="s">
        <v>166</v>
      </c>
      <c r="E85" s="30" t="s">
        <v>212</v>
      </c>
      <c r="F85" s="80">
        <v>1</v>
      </c>
      <c r="G85" s="31">
        <v>1</v>
      </c>
      <c r="H85" s="30"/>
      <c r="I85" s="30"/>
      <c r="J85" s="30"/>
      <c r="K85" s="30"/>
      <c r="L85" s="30"/>
      <c r="M85" s="30"/>
    </row>
    <row r="86" spans="1:13" ht="52.5" thickBot="1" x14ac:dyDescent="0.3">
      <c r="A86" s="30" t="s">
        <v>213</v>
      </c>
      <c r="B86" s="30" t="s">
        <v>214</v>
      </c>
      <c r="C86" s="76" t="s">
        <v>203</v>
      </c>
      <c r="D86" s="30" t="s">
        <v>158</v>
      </c>
      <c r="E86" s="30" t="s">
        <v>215</v>
      </c>
      <c r="F86" s="81">
        <v>11</v>
      </c>
      <c r="G86" s="31">
        <v>11</v>
      </c>
      <c r="H86" s="30"/>
      <c r="I86" s="30"/>
      <c r="J86" s="30"/>
      <c r="K86" s="30"/>
      <c r="L86" s="30"/>
      <c r="M86" s="30"/>
    </row>
    <row r="87" spans="1:13" ht="15.75" thickBot="1" x14ac:dyDescent="0.3">
      <c r="A87" s="29"/>
      <c r="B87" s="29"/>
      <c r="C87" s="29"/>
      <c r="D87" s="29"/>
      <c r="E87" s="82"/>
      <c r="F87" s="83"/>
      <c r="G87" s="29"/>
      <c r="H87" s="84"/>
      <c r="I87" s="29"/>
      <c r="J87" s="29"/>
      <c r="K87" s="29"/>
      <c r="L87" s="29"/>
      <c r="M87" s="29"/>
    </row>
    <row r="88" spans="1:13" ht="16.5" thickBot="1" x14ac:dyDescent="0.3">
      <c r="A88" s="29"/>
      <c r="B88" s="29"/>
      <c r="C88" s="29"/>
      <c r="D88" s="32" t="s">
        <v>216</v>
      </c>
      <c r="E88" s="85">
        <v>80.8</v>
      </c>
      <c r="F88" s="83"/>
      <c r="G88" s="29"/>
      <c r="H88" s="84"/>
      <c r="I88" s="29"/>
      <c r="J88" s="29"/>
      <c r="K88" s="29"/>
      <c r="L88" s="29"/>
      <c r="M88" s="29"/>
    </row>
    <row r="89" spans="1:13" ht="16.5" thickBot="1" x14ac:dyDescent="0.3">
      <c r="A89" s="29"/>
      <c r="B89" s="29"/>
      <c r="C89" s="29"/>
      <c r="D89" s="32" t="s">
        <v>217</v>
      </c>
      <c r="E89" s="85">
        <v>35</v>
      </c>
      <c r="F89" s="83"/>
      <c r="G89" s="29"/>
      <c r="H89" s="84"/>
      <c r="I89" s="29"/>
      <c r="J89" s="29"/>
      <c r="K89" s="29"/>
      <c r="L89" s="29"/>
      <c r="M89" s="29"/>
    </row>
    <row r="90" spans="1:13" ht="16.5" thickBot="1" x14ac:dyDescent="0.3">
      <c r="A90" s="29"/>
      <c r="B90" s="29"/>
      <c r="C90" s="29"/>
      <c r="D90" s="32" t="s">
        <v>218</v>
      </c>
      <c r="E90" s="85">
        <v>6</v>
      </c>
      <c r="F90" s="83"/>
      <c r="G90" s="29"/>
      <c r="H90" s="84"/>
      <c r="I90" s="29"/>
      <c r="J90" s="29"/>
      <c r="K90" s="29"/>
      <c r="L90" s="29"/>
      <c r="M90" s="29"/>
    </row>
    <row r="91" spans="1:13" ht="16.5" thickBot="1" x14ac:dyDescent="0.3">
      <c r="A91" s="29"/>
      <c r="B91" s="29"/>
      <c r="C91" s="29"/>
      <c r="D91" s="32" t="s">
        <v>88</v>
      </c>
      <c r="E91" s="85">
        <v>121.8</v>
      </c>
      <c r="F91" s="83"/>
      <c r="G91" s="29"/>
      <c r="H91" s="84"/>
      <c r="I91" s="29"/>
      <c r="J91" s="29"/>
      <c r="K91" s="29"/>
      <c r="L91" s="29"/>
      <c r="M91" s="29"/>
    </row>
    <row r="92" spans="1:13" ht="15.75" thickBot="1" x14ac:dyDescent="0.3">
      <c r="A92" s="29"/>
      <c r="B92" s="29"/>
      <c r="C92" s="29"/>
      <c r="D92" s="29"/>
      <c r="E92" s="82"/>
      <c r="F92" s="83"/>
      <c r="G92" s="29"/>
      <c r="H92" s="84"/>
      <c r="I92" s="29"/>
      <c r="J92" s="29"/>
      <c r="K92" s="29"/>
      <c r="L92" s="29"/>
      <c r="M92" s="29"/>
    </row>
  </sheetData>
  <mergeCells count="1">
    <mergeCell ref="A39:B39"/>
  </mergeCells>
  <phoneticPr fontId="3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B87C-9D3E-43CD-B567-0B296793AE99}">
  <dimension ref="A1:Q14"/>
  <sheetViews>
    <sheetView topLeftCell="M1" workbookViewId="0">
      <pane ySplit="3" topLeftCell="A5" activePane="bottomLeft" state="frozen"/>
      <selection pane="bottomLeft" activeCell="A14" sqref="A1:XFD14"/>
    </sheetView>
  </sheetViews>
  <sheetFormatPr defaultRowHeight="15" x14ac:dyDescent="0.25"/>
  <cols>
    <col min="1" max="1" width="18.140625" customWidth="1"/>
    <col min="2" max="2" width="57.140625" customWidth="1"/>
    <col min="3" max="3" width="21" customWidth="1"/>
    <col min="4" max="4" width="19" customWidth="1"/>
    <col min="5" max="5" width="21" customWidth="1"/>
    <col min="6" max="6" width="24.7109375" customWidth="1"/>
    <col min="7" max="7" width="17.140625" customWidth="1"/>
    <col min="8" max="9" width="14.28515625" customWidth="1"/>
    <col min="10" max="10" width="19" customWidth="1"/>
    <col min="11" max="11" width="17.140625" customWidth="1"/>
    <col min="12" max="13" width="26.7109375" customWidth="1"/>
    <col min="14" max="14" width="19" customWidth="1"/>
    <col min="15" max="16" width="17.140625" customWidth="1"/>
    <col min="17" max="17" width="47.5703125" customWidth="1"/>
  </cols>
  <sheetData>
    <row r="1" spans="1:17" ht="21" x14ac:dyDescent="0.35">
      <c r="A1" s="33" t="s">
        <v>167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3" spans="1:17" x14ac:dyDescent="0.25">
      <c r="A3" s="38" t="s">
        <v>137</v>
      </c>
      <c r="B3" s="38" t="s">
        <v>138</v>
      </c>
      <c r="C3" s="38" t="s">
        <v>139</v>
      </c>
      <c r="D3" s="38" t="s">
        <v>63</v>
      </c>
      <c r="E3" s="38" t="s">
        <v>92</v>
      </c>
      <c r="F3" s="38" t="s">
        <v>140</v>
      </c>
      <c r="G3" s="38" t="s">
        <v>141</v>
      </c>
      <c r="H3" s="38" t="s">
        <v>142</v>
      </c>
      <c r="I3" s="38" t="s">
        <v>168</v>
      </c>
      <c r="J3" s="38" t="s">
        <v>143</v>
      </c>
      <c r="K3" s="38" t="s">
        <v>169</v>
      </c>
      <c r="L3" s="38" t="s">
        <v>170</v>
      </c>
      <c r="M3" s="38" t="s">
        <v>144</v>
      </c>
      <c r="N3" s="38" t="s">
        <v>171</v>
      </c>
      <c r="O3" s="38" t="s">
        <v>145</v>
      </c>
      <c r="P3" s="38" t="s">
        <v>172</v>
      </c>
      <c r="Q3" s="38" t="s">
        <v>173</v>
      </c>
    </row>
    <row r="4" spans="1:17" x14ac:dyDescent="0.25">
      <c r="A4" s="41" t="s">
        <v>60</v>
      </c>
      <c r="B4" s="39" t="s">
        <v>66</v>
      </c>
      <c r="C4" s="40"/>
      <c r="D4" s="40" t="s">
        <v>67</v>
      </c>
      <c r="E4" s="40" t="s">
        <v>68</v>
      </c>
      <c r="F4" s="40" t="s">
        <v>69</v>
      </c>
      <c r="G4" s="40">
        <v>10</v>
      </c>
      <c r="H4" s="40" t="s">
        <v>146</v>
      </c>
      <c r="I4" s="40"/>
      <c r="J4" s="41" t="s">
        <v>147</v>
      </c>
      <c r="K4" s="40">
        <v>10</v>
      </c>
      <c r="L4" s="39"/>
      <c r="M4" s="41" t="s">
        <v>148</v>
      </c>
      <c r="N4" s="41" t="s">
        <v>60</v>
      </c>
      <c r="O4" s="40"/>
      <c r="P4" s="40"/>
      <c r="Q4" s="39"/>
    </row>
    <row r="5" spans="1:17" x14ac:dyDescent="0.25">
      <c r="A5" s="53" t="s">
        <v>60</v>
      </c>
      <c r="B5" s="56" t="s">
        <v>104</v>
      </c>
      <c r="C5" s="54"/>
      <c r="D5" s="54" t="s">
        <v>71</v>
      </c>
      <c r="E5" s="54" t="s">
        <v>68</v>
      </c>
      <c r="F5" s="54" t="s">
        <v>69</v>
      </c>
      <c r="G5" s="54">
        <v>10</v>
      </c>
      <c r="H5" s="54" t="s">
        <v>146</v>
      </c>
      <c r="I5" s="54"/>
      <c r="J5" s="53" t="s">
        <v>147</v>
      </c>
      <c r="K5" s="54">
        <v>10</v>
      </c>
      <c r="L5" s="56"/>
      <c r="M5" s="53" t="s">
        <v>148</v>
      </c>
      <c r="N5" s="53" t="s">
        <v>60</v>
      </c>
      <c r="O5" s="54"/>
      <c r="P5" s="54"/>
      <c r="Q5" s="56"/>
    </row>
    <row r="6" spans="1:17" x14ac:dyDescent="0.25">
      <c r="A6" s="41" t="s">
        <v>60</v>
      </c>
      <c r="B6" s="39" t="s">
        <v>72</v>
      </c>
      <c r="C6" s="40"/>
      <c r="D6" s="40" t="s">
        <v>73</v>
      </c>
      <c r="E6" s="40" t="s">
        <v>68</v>
      </c>
      <c r="F6" s="40" t="s">
        <v>69</v>
      </c>
      <c r="G6" s="40">
        <v>10</v>
      </c>
      <c r="H6" s="40" t="s">
        <v>146</v>
      </c>
      <c r="I6" s="40"/>
      <c r="J6" s="41" t="s">
        <v>147</v>
      </c>
      <c r="K6" s="40">
        <v>10</v>
      </c>
      <c r="L6" s="39"/>
      <c r="M6" s="41" t="s">
        <v>148</v>
      </c>
      <c r="N6" s="41" t="s">
        <v>60</v>
      </c>
      <c r="O6" s="40"/>
      <c r="P6" s="40"/>
      <c r="Q6" s="39"/>
    </row>
    <row r="7" spans="1:17" x14ac:dyDescent="0.25">
      <c r="A7" s="53" t="s">
        <v>174</v>
      </c>
      <c r="B7" s="56" t="s">
        <v>75</v>
      </c>
      <c r="C7" s="54"/>
      <c r="D7" s="54" t="s">
        <v>76</v>
      </c>
      <c r="E7" s="54" t="s">
        <v>77</v>
      </c>
      <c r="F7" s="54" t="s">
        <v>175</v>
      </c>
      <c r="G7" s="54">
        <v>60</v>
      </c>
      <c r="H7" s="57" t="s">
        <v>149</v>
      </c>
      <c r="I7" s="54">
        <v>4</v>
      </c>
      <c r="J7" s="53" t="s">
        <v>150</v>
      </c>
      <c r="K7" s="54">
        <v>60</v>
      </c>
      <c r="L7" s="56"/>
      <c r="M7" s="53" t="s">
        <v>151</v>
      </c>
      <c r="N7" s="54"/>
      <c r="O7" s="54"/>
      <c r="P7" s="54"/>
      <c r="Q7" s="56"/>
    </row>
    <row r="8" spans="1:17" x14ac:dyDescent="0.25">
      <c r="A8" s="41" t="s">
        <v>174</v>
      </c>
      <c r="B8" s="39" t="s">
        <v>78</v>
      </c>
      <c r="C8" s="40"/>
      <c r="D8" s="40" t="s">
        <v>79</v>
      </c>
      <c r="E8" s="40" t="s">
        <v>77</v>
      </c>
      <c r="F8" s="40" t="s">
        <v>175</v>
      </c>
      <c r="G8" s="40">
        <v>32</v>
      </c>
      <c r="H8" s="40" t="s">
        <v>146</v>
      </c>
      <c r="I8" s="40"/>
      <c r="J8" s="41" t="s">
        <v>150</v>
      </c>
      <c r="K8" s="47">
        <v>36</v>
      </c>
      <c r="L8" s="44" t="s">
        <v>152</v>
      </c>
      <c r="M8" s="41" t="s">
        <v>151</v>
      </c>
      <c r="N8" s="40"/>
      <c r="O8" s="40"/>
      <c r="P8" s="40"/>
      <c r="Q8" s="39"/>
    </row>
    <row r="9" spans="1:17" x14ac:dyDescent="0.25">
      <c r="A9" s="53" t="s">
        <v>153</v>
      </c>
      <c r="B9" s="56" t="s">
        <v>83</v>
      </c>
      <c r="C9" s="54"/>
      <c r="D9" s="54" t="s">
        <v>84</v>
      </c>
      <c r="E9" s="54" t="s">
        <v>77</v>
      </c>
      <c r="F9" s="54" t="s">
        <v>97</v>
      </c>
      <c r="G9" s="54">
        <v>36</v>
      </c>
      <c r="H9" s="57" t="s">
        <v>149</v>
      </c>
      <c r="I9" s="54">
        <v>2</v>
      </c>
      <c r="J9" s="53" t="s">
        <v>176</v>
      </c>
      <c r="K9" s="54">
        <v>24</v>
      </c>
      <c r="L9" s="60" t="s">
        <v>154</v>
      </c>
      <c r="M9" s="53" t="s">
        <v>94</v>
      </c>
      <c r="N9" s="54"/>
      <c r="O9" s="54"/>
      <c r="P9" s="54"/>
      <c r="Q9" s="56"/>
    </row>
    <row r="10" spans="1:17" x14ac:dyDescent="0.25">
      <c r="A10" s="41" t="s">
        <v>153</v>
      </c>
      <c r="B10" s="39" t="s">
        <v>85</v>
      </c>
      <c r="C10" s="40"/>
      <c r="D10" s="40" t="s">
        <v>86</v>
      </c>
      <c r="E10" s="47" t="s">
        <v>77</v>
      </c>
      <c r="F10" s="40" t="s">
        <v>97</v>
      </c>
      <c r="G10" s="40">
        <v>120</v>
      </c>
      <c r="H10" s="40" t="s">
        <v>146</v>
      </c>
      <c r="I10" s="40"/>
      <c r="J10" s="41" t="s">
        <v>176</v>
      </c>
      <c r="K10" s="54">
        <v>120</v>
      </c>
      <c r="L10" s="39" t="s">
        <v>155</v>
      </c>
      <c r="M10" s="41" t="s">
        <v>94</v>
      </c>
      <c r="N10" s="40"/>
      <c r="O10" s="40"/>
      <c r="P10" s="40"/>
      <c r="Q10" s="39" t="s">
        <v>156</v>
      </c>
    </row>
    <row r="11" spans="1:17" x14ac:dyDescent="0.25">
      <c r="A11" s="53"/>
      <c r="B11" s="56" t="s">
        <v>157</v>
      </c>
      <c r="C11" s="61">
        <v>5060357990121</v>
      </c>
      <c r="D11" s="54" t="s">
        <v>158</v>
      </c>
      <c r="E11" s="54" t="s">
        <v>159</v>
      </c>
      <c r="F11" s="54" t="s">
        <v>160</v>
      </c>
      <c r="G11" s="54">
        <v>124</v>
      </c>
      <c r="H11" s="57" t="s">
        <v>146</v>
      </c>
      <c r="I11" s="54"/>
      <c r="J11" s="53" t="s">
        <v>153</v>
      </c>
      <c r="K11" s="54"/>
      <c r="L11" s="56"/>
      <c r="M11" s="54"/>
      <c r="N11" s="54"/>
      <c r="O11" s="54"/>
      <c r="P11" s="54"/>
      <c r="Q11" s="62" t="s">
        <v>177</v>
      </c>
    </row>
    <row r="12" spans="1:17" x14ac:dyDescent="0.25">
      <c r="A12" s="41"/>
      <c r="B12" s="39" t="s">
        <v>161</v>
      </c>
      <c r="C12" s="63">
        <v>5060357990107</v>
      </c>
      <c r="D12" s="40" t="s">
        <v>162</v>
      </c>
      <c r="E12" s="54" t="s">
        <v>159</v>
      </c>
      <c r="F12" s="40" t="s">
        <v>160</v>
      </c>
      <c r="G12" s="40">
        <v>47</v>
      </c>
      <c r="H12" s="40" t="s">
        <v>146</v>
      </c>
      <c r="I12" s="40"/>
      <c r="J12" s="41" t="s">
        <v>153</v>
      </c>
      <c r="K12" s="40"/>
      <c r="L12" s="39"/>
      <c r="M12" s="40"/>
      <c r="N12" s="40"/>
      <c r="O12" s="40"/>
      <c r="P12" s="40"/>
      <c r="Q12" s="39"/>
    </row>
    <row r="13" spans="1:17" x14ac:dyDescent="0.25">
      <c r="A13" s="53"/>
      <c r="B13" s="56" t="s">
        <v>163</v>
      </c>
      <c r="C13" s="61">
        <v>5060357990114</v>
      </c>
      <c r="D13" s="54" t="s">
        <v>164</v>
      </c>
      <c r="E13" s="54" t="s">
        <v>159</v>
      </c>
      <c r="F13" s="54" t="s">
        <v>160</v>
      </c>
      <c r="G13" s="54">
        <v>10</v>
      </c>
      <c r="H13" s="57" t="s">
        <v>146</v>
      </c>
      <c r="I13" s="54"/>
      <c r="J13" s="53" t="s">
        <v>153</v>
      </c>
      <c r="K13" s="54"/>
      <c r="L13" s="56"/>
      <c r="M13" s="54"/>
      <c r="N13" s="54"/>
      <c r="O13" s="54"/>
      <c r="P13" s="54"/>
      <c r="Q13" s="56"/>
    </row>
    <row r="14" spans="1:17" x14ac:dyDescent="0.25">
      <c r="A14" s="41"/>
      <c r="B14" s="39" t="s">
        <v>165</v>
      </c>
      <c r="C14" s="63">
        <v>5060357992217</v>
      </c>
      <c r="D14" s="40" t="s">
        <v>166</v>
      </c>
      <c r="E14" s="54" t="s">
        <v>159</v>
      </c>
      <c r="F14" s="40" t="s">
        <v>160</v>
      </c>
      <c r="G14" s="40">
        <v>21</v>
      </c>
      <c r="H14" s="40" t="s">
        <v>146</v>
      </c>
      <c r="I14" s="40"/>
      <c r="J14" s="41" t="s">
        <v>153</v>
      </c>
      <c r="K14" s="40"/>
      <c r="L14" s="39"/>
      <c r="M14" s="40"/>
      <c r="N14" s="40"/>
      <c r="O14" s="40"/>
      <c r="P14" s="40"/>
      <c r="Q14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NETP Cash Flow Calculator</vt:lpstr>
      <vt:lpstr>Sheet1</vt:lpstr>
      <vt:lpstr>Inbound Receiving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Chros Blacko</cp:lastModifiedBy>
  <dcterms:created xsi:type="dcterms:W3CDTF">2025-11-10T10:34:19Z</dcterms:created>
  <dcterms:modified xsi:type="dcterms:W3CDTF">2026-02-11T01:05:28Z</dcterms:modified>
</cp:coreProperties>
</file>